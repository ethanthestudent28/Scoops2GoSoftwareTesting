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stummuac-my.sharepoint.com/personal/22487557_stu_mmu_ac_uk/Documents/Documents/Year Three/Software Testing and Quality Assurance/Assignment 2/"/>
    </mc:Choice>
  </mc:AlternateContent>
  <xr:revisionPtr revIDLastSave="1692" documentId="8_{A0D8DB15-1D6B-458A-B5C7-D9674CABC816}" xr6:coauthVersionLast="47" xr6:coauthVersionMax="47" xr10:uidLastSave="{FD1F9B3A-63D5-4423-9319-EB5EE1243411}"/>
  <bookViews>
    <workbookView xWindow="-108" yWindow="-108" windowWidth="23256" windowHeight="12456" activeTab="2" xr2:uid="{EB9C9277-8986-4B13-82A0-E04A62D9F7B8}"/>
  </bookViews>
  <sheets>
    <sheet name="test_cases" sheetId="1" r:id="rId1"/>
    <sheet name="API_requests" sheetId="6" r:id="rId2"/>
    <sheet name="unit_tests" sheetId="2" r:id="rId3"/>
    <sheet name="estDeliveryTime_test_inputs" sheetId="5" r:id="rId4"/>
    <sheet name="estDeliveryMinutes_test_inputs" sheetId="4" r:id="rId5"/>
    <sheet name="calcSubtotal_test_inputs"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8" i="1" l="1"/>
  <c r="I21" i="1"/>
  <c r="I20" i="1"/>
  <c r="I19" i="1"/>
  <c r="I18" i="1"/>
  <c r="I17" i="1"/>
  <c r="I16" i="1"/>
  <c r="I15" i="1"/>
  <c r="I10" i="1"/>
  <c r="I11" i="1"/>
  <c r="I12" i="1"/>
  <c r="I2" i="1"/>
  <c r="I4" i="1"/>
  <c r="I5" i="1"/>
  <c r="I6" i="1"/>
  <c r="I7" i="1"/>
  <c r="I8" i="1"/>
  <c r="H3" i="2"/>
  <c r="I3" i="2" s="1"/>
  <c r="H4" i="2"/>
  <c r="I4" i="2" s="1"/>
  <c r="H5" i="2"/>
  <c r="I5" i="2" s="1"/>
  <c r="H6" i="2"/>
  <c r="I6" i="2" s="1"/>
  <c r="H7" i="2"/>
  <c r="I7" i="2" s="1"/>
  <c r="H8" i="2"/>
  <c r="I8" i="2" s="1"/>
  <c r="H9" i="2"/>
  <c r="H10" i="2"/>
  <c r="I10" i="2" s="1"/>
  <c r="H11" i="2"/>
  <c r="I11" i="2" s="1"/>
  <c r="H12" i="2"/>
  <c r="I12" i="2" s="1"/>
  <c r="H13" i="2"/>
  <c r="I13" i="2" s="1"/>
  <c r="H14" i="2"/>
  <c r="I14" i="2" s="1"/>
  <c r="H15" i="2"/>
  <c r="H16" i="2"/>
  <c r="I16" i="2" s="1"/>
  <c r="H17" i="2"/>
  <c r="I17" i="2" s="1"/>
  <c r="H18" i="2"/>
  <c r="I18" i="2" s="1"/>
  <c r="H19" i="2"/>
  <c r="I19" i="2" s="1"/>
  <c r="H20" i="2"/>
  <c r="I20" i="2" s="1"/>
  <c r="H21" i="2"/>
  <c r="I21" i="2" s="1"/>
  <c r="H22" i="2"/>
  <c r="H23" i="2"/>
  <c r="I23" i="2" s="1"/>
  <c r="H24" i="2"/>
  <c r="I24" i="2" s="1"/>
  <c r="H25" i="2"/>
  <c r="I25" i="2" s="1"/>
  <c r="H26" i="2"/>
  <c r="I26" i="2" s="1"/>
  <c r="H27" i="2"/>
  <c r="I27" i="2" s="1"/>
  <c r="H28" i="2"/>
  <c r="I28" i="2" s="1"/>
  <c r="H29" i="2"/>
  <c r="I29" i="2" s="1"/>
  <c r="H30" i="2"/>
  <c r="I30" i="2" s="1"/>
  <c r="H31" i="2"/>
  <c r="I31" i="2" s="1"/>
  <c r="H32" i="2"/>
  <c r="I32" i="2" s="1"/>
  <c r="H33" i="2"/>
  <c r="H34" i="2"/>
  <c r="I34" i="2" s="1"/>
  <c r="H35" i="2"/>
  <c r="I35" i="2" s="1"/>
  <c r="H36" i="2"/>
  <c r="I36" i="2" s="1"/>
  <c r="H37" i="2"/>
  <c r="I37" i="2" s="1"/>
  <c r="H38" i="2"/>
  <c r="I38" i="2" s="1"/>
  <c r="H39" i="2"/>
  <c r="I39" i="2" s="1"/>
  <c r="H40" i="2"/>
  <c r="I40" i="2" s="1"/>
  <c r="H41" i="2"/>
  <c r="I41" i="2" s="1"/>
  <c r="H42" i="2"/>
  <c r="H43" i="2"/>
  <c r="I43" i="2" s="1"/>
  <c r="H44" i="2"/>
  <c r="I44" i="2" s="1"/>
  <c r="H45" i="2"/>
  <c r="I45" i="2" s="1"/>
  <c r="H46" i="2"/>
  <c r="I46" i="2" s="1"/>
  <c r="H47" i="2"/>
  <c r="I47" i="2" s="1"/>
  <c r="H48" i="2"/>
  <c r="I48" i="2" s="1"/>
  <c r="H55" i="2"/>
  <c r="I55" i="2" s="1"/>
  <c r="H56" i="2"/>
  <c r="I56" i="2" s="1"/>
  <c r="H57" i="2"/>
  <c r="I57" i="2" s="1"/>
  <c r="H58" i="2"/>
  <c r="I58" i="2" s="1"/>
  <c r="H59" i="2"/>
  <c r="I59" i="2" s="1"/>
  <c r="H60" i="2"/>
  <c r="I60" i="2" s="1"/>
  <c r="H49" i="2"/>
  <c r="H50" i="2"/>
  <c r="H51" i="2"/>
  <c r="H52" i="2"/>
  <c r="I52" i="2" s="1"/>
  <c r="H53" i="2"/>
  <c r="I53" i="2" s="1"/>
  <c r="H54" i="2"/>
  <c r="I54" i="2" s="1"/>
  <c r="H2" i="2"/>
  <c r="I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tc={33B0A3ED-5568-448C-ACFA-A15BC45C06BD}</author>
    <author>tc={3BDE0D4E-D348-42E9-BC08-B6AE00623ADD}</author>
    <author>tc={F2594092-8D38-49EE-BF27-3B17EE5B561A}</author>
    <author>tc={3A3B5F26-ABC9-4CCA-BF96-3C019F4096F9}</author>
    <author>tc={EEB1B516-6186-4348-A24B-C495D6524A1B}</author>
    <author>tc={1C7773FC-AB68-4231-9EFB-3A6DED1577DC}</author>
    <author>tc={FFC7BBEF-97E2-4F60-85AF-93A9DC3D6901}</author>
  </authors>
  <commentList>
    <comment ref="E5" authorId="0" shapeId="0" xr:uid="{33B0A3ED-5568-448C-ACFA-A15BC45C06BD}">
      <text>
        <t>[Threaded comment]
Your version of Excel allows you to read this threaded comment; however, any edits to it will get removed if the file is opened in a newer version of Excel. Learn more: https://go.microsoft.com/fwlink/?linkid=870924
Comment:
    Do the Test steps and test data make sense for this test case and future ones? Should I be saying “Select cone type” in test steps and clarifying in test data?
Reply:
    That's the right idea, yes. Saying something like Select cone type (see Test Data) would help to avoid any doubt.</t>
      </text>
    </comment>
    <comment ref="G15" authorId="1" shapeId="0" xr:uid="{3BDE0D4E-D348-42E9-BC08-B6AE00623ADD}">
      <text>
        <t>[Threaded comment]
Your version of Excel allows you to read this threaded comment; however, any edits to it will get removed if the file is opened in a newer version of Excel. Learn more: https://go.microsoft.com/fwlink/?linkid=870924
Comment:
    Should this be the same as the expected results, or can I say verbatim what the pop-up displayed? Should I change the expected results to be what the pop up displayed, or should I be acting as if I don’t know the actual result when I’m writing the expected?
Reply:
    Yes - this is the right approach. You might like to add to your actual result a bit: "Pop up with confirmation: 'Order updated...'" etc.</t>
      </text>
    </comment>
    <comment ref="G17" authorId="2" shapeId="0" xr:uid="{F2594092-8D38-49EE-BF27-3B17EE5B561A}">
      <text>
        <t>[Threaded comment]
Your version of Excel allows you to read this threaded comment; however, any edits to it will get removed if the file is opened in a newer version of Excel. Learn more: https://go.microsoft.com/fwlink/?linkid=870924
Comment:
    Is this a pass? It satisfies the requirement of being informative, but I wouldn’t call it “clear, legible and otherwise understandable” for REQ-UI-003 from a user perspective
Reply:
    I agree. Think about what requirement you are testing here... If UI-003 is being tested for here then you might want to think about your expected result.</t>
      </text>
    </comment>
    <comment ref="A23" authorId="3" shapeId="0" xr:uid="{3A3B5F26-ABC9-4CCA-BF96-3C019F4096F9}">
      <text>
        <t>[Threaded comment]
Your version of Excel allows you to read this threaded comment; however, any edits to it will get removed if the file is opened in a newer version of Excel. Learn more: https://go.microsoft.com/fwlink/?linkid=870924
Comment:
    Should I be counting clicking the cone and flavour for this requirement?
Reply:
    This is open to interpretation (the kind of thing you as a tester could highlight as the spec if being written in practice). Personally, I would count those clicks as interactions.</t>
      </text>
    </comment>
    <comment ref="A26" authorId="4" shapeId="0" xr:uid="{EEB1B516-6186-4348-A24B-C495D6524A1B}">
      <text>
        <t>[Threaded comment]
Your version of Excel allows you to read this threaded comment; however, any edits to it will get removed if the file is opened in a newer version of Excel. Learn more: https://go.microsoft.com/fwlink/?linkid=870924
Comment:
    Am I right in assuming that all PER requirements are blocked, as they require average processing times/uptimes?
Reply:
    There are a few different ways you could attempt to deal with the PER reqs. I like this approach.</t>
      </text>
    </comment>
    <comment ref="A29" authorId="5" shapeId="0" xr:uid="{1C7773FC-AB68-4231-9EFB-3A6DED1577DC}">
      <text>
        <t>[Threaded comment]
Your version of Excel allows you to read this threaded comment; however, any edits to it will get removed if the file is opened in a newer version of Excel. Learn more: https://go.microsoft.com/fwlink/?linkid=870924
Comment:
    Can I use Postman for these 3 test cases, or should I be marking as blocked? The system isn’t under normal conditions if I am the only one sending requests
Reply:
    There are a few different ways you could attempt to deal with the PER reqs. I like this approach (marking as blocked).</t>
      </text>
    </comment>
    <comment ref="A32" authorId="6" shapeId="0" xr:uid="{FFC7BBEF-97E2-4F60-85AF-93A9DC3D6901}">
      <text>
        <t>[Threaded comment]
Your version of Excel allows you to read this threaded comment; however, any edits to it will get removed if the file is opened in a newer version of Excel. Learn more: https://go.microsoft.com/fwlink/?linkid=870924
Comment:
    Again, can I test this? The system isn’t running at normal conditions
Reply:
    There are a few different ways you could attempt to deal with the PER reqs. I like this approach (marking as blocked).</t>
      </text>
    </comment>
  </commentList>
</comments>
</file>

<file path=xl/sharedStrings.xml><?xml version="1.0" encoding="utf-8"?>
<sst xmlns="http://schemas.openxmlformats.org/spreadsheetml/2006/main" count="801" uniqueCount="436">
  <si>
    <t>Test Case ID</t>
  </si>
  <si>
    <t>Description</t>
  </si>
  <si>
    <t>Pre-Conditions</t>
  </si>
  <si>
    <t>Test Steps</t>
  </si>
  <si>
    <t>Test Data</t>
  </si>
  <si>
    <t>Expected Results</t>
  </si>
  <si>
    <t>Actual Result</t>
  </si>
  <si>
    <t>Status</t>
  </si>
  <si>
    <t>REQ-FR-001_TC-001</t>
  </si>
  <si>
    <t>REQ-FR-002_TC-001</t>
  </si>
  <si>
    <t>Opening the website should display the lists of available products</t>
  </si>
  <si>
    <t>Products on website should have their price displayed in GBP</t>
  </si>
  <si>
    <t>REQ-FR-003_TC-001</t>
  </si>
  <si>
    <t>API running, website communicating with API successfully, database contains products</t>
  </si>
  <si>
    <t>REQ-FR-004_TC-001</t>
  </si>
  <si>
    <t>REQ-FR-004_TC-002</t>
  </si>
  <si>
    <t>REQ-FR-004_TC-003</t>
  </si>
  <si>
    <t>REQ-FR-004_TC-004</t>
  </si>
  <si>
    <t>REQ-FR-004_TC-005</t>
  </si>
  <si>
    <t>REQ-FR-004_TC-006</t>
  </si>
  <si>
    <t>REQ-FR-005_TC-001</t>
  </si>
  <si>
    <t>The system should return a unique order ID when a treat is added to the basket</t>
  </si>
  <si>
    <t>REQ-FR-005_TC-002</t>
  </si>
  <si>
    <t>1) Navigate to Scoops2Go/scoops-builder webpage</t>
  </si>
  <si>
    <t>REQ-FR-006_TC-001</t>
  </si>
  <si>
    <t>Products on the website should have a description</t>
  </si>
  <si>
    <t>Passed</t>
  </si>
  <si>
    <t>REQ-FR-007_TC-001</t>
  </si>
  <si>
    <t>ProductDTO(null, null, null, null, null, "CONE")
ProductDTO(null, null, null, null, null, "FLAVOR")</t>
  </si>
  <si>
    <t>Does not throw an expection, treat is valid</t>
  </si>
  <si>
    <t>None required</t>
  </si>
  <si>
    <t>Passing zero cones to validateTreatProducts should throw an exception</t>
  </si>
  <si>
    <t>InvalidTreatException</t>
  </si>
  <si>
    <t>Passing one cone and one flavor to validateTreatProducts should not throw exception</t>
  </si>
  <si>
    <t>ProductDTO(type: "FLAVOR")</t>
  </si>
  <si>
    <t>Passing zero flavors to validateTreatProducts should throw an exception</t>
  </si>
  <si>
    <t>Passing two cones to validateTreatProducts should throw an exception</t>
  </si>
  <si>
    <t>Passing four flavors to validateTreatProducts should throw an exception</t>
  </si>
  <si>
    <t>Invoke validateTreatProducts method with required parameters</t>
  </si>
  <si>
    <t>ProductDTO(null, null, null, null, null, "CONE")
ProductDTO(null, null, null, null, null, "CONE")
ProductDTO(null, null, null, null, null, "FLAVOR")</t>
  </si>
  <si>
    <t>ProductDTO(null, null, null, null, null, "CONE")</t>
  </si>
  <si>
    <t>ProductDTO(null, null, null, null, null, "CONE")
ProductDTO(null, null, null, null, null, "FLAVOR")
ProductDTO(null, null, null, null, null, "FLAVOR")
ProductDTO(null, null, null, null, null, "FLAVOR")
ProductDTO(null, null, null, null, null, "FLAVOR")</t>
  </si>
  <si>
    <t>Passing six toppings to validateTreatProducts should throw an exception</t>
  </si>
  <si>
    <t>ProductDTO(null, null, null, null, null, "CONE")
ProductDTO(null, null, null, null, null, "FLAVOR")
ProductDTO(null, null, null, null, null, "TOPPING")
ProductDTO(null, null, null, null, null, "TOPPING")
ProductDTO(null, null, null, null, null, "TOPPING")
ProductDTO(null, null, null, null, null, "TOPPING")
ProductDTO(null, null, null, null, null, "TOPPING")</t>
  </si>
  <si>
    <t>Page returns a list of available treats</t>
  </si>
  <si>
    <t>Price returned with "£" symbol and rounded to 2 decimal places</t>
  </si>
  <si>
    <t>Passing eleven to validateBasketSize should return false</t>
  </si>
  <si>
    <t>Invoke validateBasketSize method with required parameters</t>
  </si>
  <si>
    <t>REQ-FR-005_TC-003</t>
  </si>
  <si>
    <t>REQ-FR-006_TC-003</t>
  </si>
  <si>
    <t>Passing ten to validateBasketSize should return true</t>
  </si>
  <si>
    <t>REQ-FR-006_TC-004</t>
  </si>
  <si>
    <t>REQ-FR-006_TC-005</t>
  </si>
  <si>
    <t>REQ-FR-006_TC-006</t>
  </si>
  <si>
    <t>Passing zero to validateBasketSize should return true</t>
  </si>
  <si>
    <t>Passing five to validateBasketSize should return true</t>
  </si>
  <si>
    <t>REQ-FR-005_TC-004</t>
  </si>
  <si>
    <t>REQ-FR-005_TC-005</t>
  </si>
  <si>
    <t>REQ-FR-006_TC-002</t>
  </si>
  <si>
    <t>Invoke calcSurcharge method with required parameters</t>
  </si>
  <si>
    <t>Passing a null LocalDateTime to calcSurcharge should return a default surcharge of £0.00</t>
  </si>
  <si>
    <t>Passing a LocalDateTime of 8/9/2025 to calcSurcharge should return a surcharge of £0.00</t>
  </si>
  <si>
    <t>Passing a LocalDateTime of 7/9/2025 to calcSurcharge should return a surcharge of £3.00</t>
  </si>
  <si>
    <t>Passing a LocalDateTime of 31/5/2025 to calcSurcharge should return a surcharge of £0.00</t>
  </si>
  <si>
    <t>Passing a LocalDateTime of 1/6/2025 to calcSurcharge should return a surcharge of £3.00</t>
  </si>
  <si>
    <t>Passing a LocalDateTime of 1/7/2025 to calcSurcharge should return a surcharge of £3.00</t>
  </si>
  <si>
    <t>null</t>
  </si>
  <si>
    <t>LocalDateTime.of(2025,7,1,0,0)</t>
  </si>
  <si>
    <t>LocalDateTime.of(2025,6,1,0,0)</t>
  </si>
  <si>
    <t>LocalDateTime.of(2025,5,31,0,0)</t>
  </si>
  <si>
    <t>LocalDateTime.of(2025,9,7,0,0)</t>
  </si>
  <si>
    <t>LocalDateTime.of(2025,8,9,0,0)</t>
  </si>
  <si>
    <t>Passing three valid treats to calcSubtotal should return a total of £90</t>
  </si>
  <si>
    <t>REQ-FR-006_TC-007</t>
  </si>
  <si>
    <t>REQ-FR-006_TC-008</t>
  </si>
  <si>
    <t>Invoke calcSubtotal method with required parameters</t>
  </si>
  <si>
    <t>product1</t>
  </si>
  <si>
    <t>Data</t>
  </si>
  <si>
    <t>product2</t>
  </si>
  <si>
    <t>product3</t>
  </si>
  <si>
    <t>productNULL</t>
  </si>
  <si>
    <t>Product(null, BigDecimal.valueOf(5.00), null, null, null)</t>
  </si>
  <si>
    <t>Product(null, BigDecimal.valueOf(10.00), null, null, null)</t>
  </si>
  <si>
    <t>Product(null, BigDecimal.valueOf(15.00), null, null, null)</t>
  </si>
  <si>
    <t>Product(null, null, null, null, null)</t>
  </si>
  <si>
    <t>Variable Name</t>
  </si>
  <si>
    <t>treat</t>
  </si>
  <si>
    <t>Treat(List.of(product1, product2, product3)</t>
  </si>
  <si>
    <t>nullTreat</t>
  </si>
  <si>
    <t>Treat(null)</t>
  </si>
  <si>
    <t>treatWithNull</t>
  </si>
  <si>
    <t>Treat(List.of(product1, product2, productNull)</t>
  </si>
  <si>
    <t>List.of(treat, treat, treat)
See calcSubtotal_test_inputs for variable info</t>
  </si>
  <si>
    <t>List.of(treatWithNull, treat, treat)
See calcSubtotal_test_inputs for variable info</t>
  </si>
  <si>
    <t>List.of(nullTreat)
See calcSubtotal_test_inputs for variable info</t>
  </si>
  <si>
    <t>Passing three treats with one containing a null product to calcSubtotal should return a total of £75</t>
  </si>
  <si>
    <t>Passing a null treat to calcSubtotal should return £0</t>
  </si>
  <si>
    <t>Test case</t>
  </si>
  <si>
    <t>Product Number</t>
  </si>
  <si>
    <t>REQ-FR-007_TC-002</t>
  </si>
  <si>
    <t>REQ-FR-007_TC-003</t>
  </si>
  <si>
    <t>Treat Number</t>
  </si>
  <si>
    <t>Expected</t>
  </si>
  <si>
    <t>Passing a treat number of 5 and a product number of 15 to calcEstDeliveryMinutes should return a delivery time of 36</t>
  </si>
  <si>
    <t>Passing a treat number of 10 and a product number of 81 to calcEstDeliveryMinutes should return a delivery time of 72</t>
  </si>
  <si>
    <t>Passing a treat number of 0 and a product number of 0 to calcEstDeliveryMinutes should return a delivery time of 20</t>
  </si>
  <si>
    <t>Invoke calcEstDeliveryMinutes with required parameters</t>
  </si>
  <si>
    <t>See estDeliveryMinutes_test_inputs</t>
  </si>
  <si>
    <t>REQ-FR-008_TC-001</t>
  </si>
  <si>
    <t>REQ-FR-012_TC-001</t>
  </si>
  <si>
    <t>Passing an order total of 10 to scoopThereItIs should return 9</t>
  </si>
  <si>
    <t>REQ-FR-012_TC-002</t>
  </si>
  <si>
    <t>REQ-FR-012_TC-003</t>
  </si>
  <si>
    <t>Passing an order total of 0 to scoopThereItIs should return 0</t>
  </si>
  <si>
    <t>Passing an order total of 1000 to scoopThereItIs should return 999</t>
  </si>
  <si>
    <t>Invoke scoopThereItIs with required parameters</t>
  </si>
  <si>
    <t>REQ-FR-012_TC-004</t>
  </si>
  <si>
    <t>REQ-FR-012_TC-005</t>
  </si>
  <si>
    <t>REQ-FR-012_TC-006</t>
  </si>
  <si>
    <t>List.of(New Treat(), New Treat(), New Treat(), New Treat())
BigDecimal.valueOf(10.00)</t>
  </si>
  <si>
    <t>InvalidPromotionException</t>
  </si>
  <si>
    <t>List.of(New Treat(), New Treat())
BigDecimal.valueOf(10.00)</t>
  </si>
  <si>
    <t>BigDecimal.valueOf(10.00)</t>
  </si>
  <si>
    <t>BigDecimal.ZERO</t>
  </si>
  <si>
    <t>BigDecimal.valueOf(1000.00)</t>
  </si>
  <si>
    <t>List.of(New Treat(), New Treat(), New Treat())
BigDecimal.valueOf(100.00)</t>
  </si>
  <si>
    <t>REQ-FR-012_TC-007</t>
  </si>
  <si>
    <t>REQ-FR-012_TC-008</t>
  </si>
  <si>
    <t>List.of(New Treat(), New Treat(), New Treat())
BigDecimal.valueOf(1000.00)</t>
  </si>
  <si>
    <t>List.of(New Treat(), New Treat(), New Treat())
BigDecimal.ZERO</t>
  </si>
  <si>
    <t>REQ-FR-012_TC-009</t>
  </si>
  <si>
    <t>REQ-FR-012_TC-010</t>
  </si>
  <si>
    <t>REQ-FR-012_TC-011</t>
  </si>
  <si>
    <t>Three treats and order total of 100 to frozen40 should throw an exception</t>
  </si>
  <si>
    <t>REQ-FR-012_TC-012</t>
  </si>
  <si>
    <t>REQ-FR-012_TC-013</t>
  </si>
  <si>
    <t>REQ-FR-012_TC-014</t>
  </si>
  <si>
    <t>REQ-FR-012_TC-015</t>
  </si>
  <si>
    <t>Invoke frozen40 with required parameters</t>
  </si>
  <si>
    <t>List.of(New Treat(), New Treat(), New Treat(), New Treat())
BigDecimal.valueOf(40.00)</t>
  </si>
  <si>
    <t>List.of(New Treat(), New Treat(), New Treat(), New Treat())
BigDecimal.valueOf(100.00)</t>
  </si>
  <si>
    <t>List.of(New Treat(), New Treat(), New Treat(), New Treat())
BigDecimal.valueOf(39.99)</t>
  </si>
  <si>
    <t>List.of(New Treat(), New Treat(), New Treat(), New Treat())
BigDecimal.valueOf(20.00)</t>
  </si>
  <si>
    <t>REQ-FR-012_TC-016</t>
  </si>
  <si>
    <t>REQ-FR-012_TC-017</t>
  </si>
  <si>
    <t>REQ-FR-012_TC-018</t>
  </si>
  <si>
    <t>REQ-FR-012_TC-019</t>
  </si>
  <si>
    <t>REQ-FR-012_TC-020</t>
  </si>
  <si>
    <t>Four treats and order total of 40 to frozen40 should return 24</t>
  </si>
  <si>
    <t>Four treats and order total of 100 to frozen40 should return 60</t>
  </si>
  <si>
    <t>Four treats and order total of -1 to frozen40 should throw exception</t>
  </si>
  <si>
    <t>Four treats and order total of 39.99 to frozen40 should throw exception</t>
  </si>
  <si>
    <t>Four treats and order total of 20.00 to frozen40 should throw exception</t>
  </si>
  <si>
    <t>Passing an order total of 100.00 to megaMelt100 should return 80.00</t>
  </si>
  <si>
    <t>Passing an order total of 200.00 to megaMelt100 should return 180.00</t>
  </si>
  <si>
    <t>Passing an order total of -1 to megaMelt100 should throw an exception</t>
  </si>
  <si>
    <t>Passing an order total of 99.99 to megaMelt100 should throw an exception</t>
  </si>
  <si>
    <t>Passing an order total of 50.00 to megaMelt100 should throw an exception</t>
  </si>
  <si>
    <t>Invoke megaMelt100 with required parameters</t>
  </si>
  <si>
    <t>BigDecimal.valueOf(100.00)</t>
  </si>
  <si>
    <t>BigDecimal.valueOf(200.00)</t>
  </si>
  <si>
    <t>BigDecimal.valueOf(99.99)</t>
  </si>
  <si>
    <t>BigDecimal.valueOf(50.00)</t>
  </si>
  <si>
    <t>Passing a valid order to the checkoutOrder method with a successful payment gateway should return true</t>
  </si>
  <si>
    <t>Invoke checkoutOrder method using the stubPaymentGateway class</t>
  </si>
  <si>
    <t>REQ-FR-008_TC-002</t>
  </si>
  <si>
    <t>Passing a valid order to the checkoutOrder method with a failed payment gateway should return false</t>
  </si>
  <si>
    <t>Invoke checkoutOrder method using the failedTestPaymentGateway class</t>
  </si>
  <si>
    <t>PaymentGatewayException</t>
  </si>
  <si>
    <t>REQ-FR-009_TC-001</t>
  </si>
  <si>
    <t>Invoke the deleteOrder method with the required parameters</t>
  </si>
  <si>
    <t>Int 11</t>
  </si>
  <si>
    <t>Int 10</t>
  </si>
  <si>
    <t>Int 0</t>
  </si>
  <si>
    <t>Int 5</t>
  </si>
  <si>
    <t>BigDecimal 3.00</t>
  </si>
  <si>
    <t>BigDecimal 0.00</t>
  </si>
  <si>
    <t>BigDecimal 90.00</t>
  </si>
  <si>
    <t>BigDecimal 75.00</t>
  </si>
  <si>
    <t>Int 36</t>
  </si>
  <si>
    <t>Int 72</t>
  </si>
  <si>
    <t>Int 20</t>
  </si>
  <si>
    <t>BigDecimal 9.00</t>
  </si>
  <si>
    <t>BigDecimal 999.00</t>
  </si>
  <si>
    <t>BigDecimal 97.00</t>
  </si>
  <si>
    <t>BigDecimal 997.00</t>
  </si>
  <si>
    <t>BigDecimal 24.00</t>
  </si>
  <si>
    <t>BigDecimal 60.00</t>
  </si>
  <si>
    <t>BigDecimal 80.00</t>
  </si>
  <si>
    <t>BigDecimal 180.00</t>
  </si>
  <si>
    <t xml:space="preserve">1) Navigate to Scoops2Go/scoops-builder webpage
2) </t>
  </si>
  <si>
    <t>N/A</t>
  </si>
  <si>
    <t>REQ-FR-010_TC-001</t>
  </si>
  <si>
    <t>Passing a valid LocalDateTime and valid deliveryMinutes to calcEstimatedDeliveryTime should return a new LocalDateTime</t>
  </si>
  <si>
    <t>Invoke calcEstimatedDeliveryTime with required parameters</t>
  </si>
  <si>
    <t>See estDeliveryTime_test_inputs</t>
  </si>
  <si>
    <t>REQ-FR-010_TC-002</t>
  </si>
  <si>
    <t>calcEstimatedDeliveryTime should return the correct LocalDateTime if the deliveryMinutes is over an hour</t>
  </si>
  <si>
    <t>REQ-FR-013_TC-001</t>
  </si>
  <si>
    <t>Passing an invalid promotion to the applyPromotion method should throw an exception</t>
  </si>
  <si>
    <t>Invoke applyPromotion with required parameters</t>
  </si>
  <si>
    <t>String "Invalid Promotion"</t>
  </si>
  <si>
    <t>REQ-FR-013_TC-002</t>
  </si>
  <si>
    <t>"LuckyForSome" should be a valid promotion for the applyPromotion method</t>
  </si>
  <si>
    <t>String "LuckyForSome"</t>
  </si>
  <si>
    <t>No exception thrown</t>
  </si>
  <si>
    <t>REQ-FR-013_TC-003</t>
  </si>
  <si>
    <t>"Frozen40" should be a valid promotion for the applyPromotion method</t>
  </si>
  <si>
    <t>String "Frozen40"</t>
  </si>
  <si>
    <t>REQ-FR-013_TC-004</t>
  </si>
  <si>
    <t>REQ-FR-013_TC-005</t>
  </si>
  <si>
    <t>REQ-FR-013_TC-006</t>
  </si>
  <si>
    <t>"MegaMelt100" should be a valid promotion for the applyPromotion method</t>
  </si>
  <si>
    <t>String "MegaMelt100"</t>
  </si>
  <si>
    <t>"TripleTreat3" should be a valid promotion for the applyPromotion method</t>
  </si>
  <si>
    <t>String "TripleTreat3"</t>
  </si>
  <si>
    <t>Passing an order total of 10 and two treats to tripleTreat3 should throw exception</t>
  </si>
  <si>
    <t>Passing an order total of 10 and four treats to tripleTreat3 should throw exception</t>
  </si>
  <si>
    <t>Passing an order total of 100 with three treats to tripleTreat3 should return 97</t>
  </si>
  <si>
    <t>Passing an order total of 1000 with three treats to tripleTreat3 should return 997</t>
  </si>
  <si>
    <t xml:space="preserve">Passing an order total of 0 with three treats to tripleTreat3 should return 0 </t>
  </si>
  <si>
    <t>Invoke tripleTreat3 with required parameters</t>
  </si>
  <si>
    <t>"ScoopThereItIs!" should be a valid promotion for the applyPromotion method</t>
  </si>
  <si>
    <t>String "ScoopThereItIs!"</t>
  </si>
  <si>
    <t>Int 73</t>
  </si>
  <si>
    <t>REQ-FR-009_TC-002</t>
  </si>
  <si>
    <t>Long 1
Mock(OrderRepository)</t>
  </si>
  <si>
    <t>deleteOrder should accept a valid ID and allow it to be deleted</t>
  </si>
  <si>
    <t>deleteOrder should throw an exception if there is no valid ID</t>
  </si>
  <si>
    <t>ResourceNotFoundException</t>
  </si>
  <si>
    <t>Test Case</t>
  </si>
  <si>
    <t>Order Time</t>
  </si>
  <si>
    <t>Delivery Minutes</t>
  </si>
  <si>
    <t>FR-010_TC-001</t>
  </si>
  <si>
    <t>FR-011_TC-002</t>
  </si>
  <si>
    <t>LocalDateTime.of(2025, 10, 1, 0, 0)</t>
  </si>
  <si>
    <t>LocalDateTime.of(2025, 10, 1, 0, 30)</t>
  </si>
  <si>
    <t>LocalDateTime.of(2025, 10, 1, 1, 30)</t>
  </si>
  <si>
    <t>No error thrown</t>
  </si>
  <si>
    <t>Passing an order total of 100 to luckyForSome should return a value of 87</t>
  </si>
  <si>
    <t>Invoke luckyForSome with required parameters</t>
  </si>
  <si>
    <t>BigDecimal.valueOf(87.00)</t>
  </si>
  <si>
    <t>Passing an order total of 13 to luckyForSome should return a value of 11.31</t>
  </si>
  <si>
    <t>BigDecimal.valueOf(13.00)</t>
  </si>
  <si>
    <t>BigDecimal.valueOf(11.31)</t>
  </si>
  <si>
    <t>Passing an order total of 13.10 to luckyForSome should return a value of 11.40</t>
  </si>
  <si>
    <t>Passing an order total of 0.00 to luckyForSome should throw an exception</t>
  </si>
  <si>
    <t>Passing an order total of -1 to luckyForSome should throw an exception</t>
  </si>
  <si>
    <t>Passing an order total of 12.99 to luckyForSome should throw an exception</t>
  </si>
  <si>
    <t>BigDecimal.valueOf(13.10)</t>
  </si>
  <si>
    <t>BigDecimal.valueOf(0.00)</t>
  </si>
  <si>
    <t>BigDecimal.valueOf(12.99)</t>
  </si>
  <si>
    <t>BigDecimal.valueOf(11.40)</t>
  </si>
  <si>
    <t>BigDecimal 87.0000</t>
  </si>
  <si>
    <t>BigDecimal 11.3100</t>
  </si>
  <si>
    <t>BigDecimal 11.3970</t>
  </si>
  <si>
    <t>BigDecimal.valueOf(-1.00)</t>
  </si>
  <si>
    <t>List.of(New Treat(), New Treat(), New Treat(), New Treat())
BigDecimal.valueOf(-1.00)</t>
  </si>
  <si>
    <t>Order(LocalDateTime.of(2025, 8, 1, 0, 0), BigDecimal.valueOf(10.00), BigDecimal.valueOf(0.00), 0, null)</t>
  </si>
  <si>
    <t>Reported?</t>
  </si>
  <si>
    <t>Yes</t>
  </si>
  <si>
    <t>REQ-UI-001_TC-001</t>
  </si>
  <si>
    <t>Alt text should be available for the ice cream cone image displayed on the home page</t>
  </si>
  <si>
    <t>API and website both running successfully</t>
  </si>
  <si>
    <t>1) Open the Scoops2Go webpage
2) Verify that the ice cream cone image has alt text</t>
  </si>
  <si>
    <t>Appropriate alt text for ice cream cone ie "Ice Cream Cone"</t>
  </si>
  <si>
    <t>"Ice Cream (Swirl) Logo"</t>
  </si>
  <si>
    <t>Page returned a list of available treats</t>
  </si>
  <si>
    <t>1) Navigate to Scoops2Go/scoops-builder webpage
2) Select Flavour "Vanilla" from list
3) Confirm that product contains a description</t>
  </si>
  <si>
    <t>Description of vanilla flavour displayed</t>
  </si>
  <si>
    <t>Cone "Waffle cone"
Flavour "Vanilla"</t>
  </si>
  <si>
    <t>Order ID #1 returned</t>
  </si>
  <si>
    <t>Creating a second order should display a new order number</t>
  </si>
  <si>
    <t>Cone "Waffle cone"
Flavour "Vanilla"
Cone "Waffle cone"
Flavour "Vanilla"</t>
  </si>
  <si>
    <t>Order ID #2 returned</t>
  </si>
  <si>
    <t>REQ-UI-002_TC-001</t>
  </si>
  <si>
    <t>It should be possible to successfully create and view an order using solely keyboard inputs</t>
  </si>
  <si>
    <t>All pages could be accessed and manipulated using the keyboard</t>
  </si>
  <si>
    <t>REQ-UI-003_TC-001</t>
  </si>
  <si>
    <t>There should be no spelling mistakes on the home page</t>
  </si>
  <si>
    <t>1) Open the Scoops2Go webpage
2) Verify that all text is spelled correctly</t>
  </si>
  <si>
    <t>No spelling errors</t>
  </si>
  <si>
    <t>Scoops2Go is mispelled as "ScoopsTwoGo"</t>
  </si>
  <si>
    <t>Failed</t>
  </si>
  <si>
    <t>REQ-UI-003_TC-002</t>
  </si>
  <si>
    <t>REQ-UI-003_TC-003</t>
  </si>
  <si>
    <t>REQ-UI-003_TC-004</t>
  </si>
  <si>
    <t>There should be no spelling mistakes on the scoops-builder page</t>
  </si>
  <si>
    <t>There should be no spelling mistakes on the cart page</t>
  </si>
  <si>
    <t>1) Open the Scoops2Go webpage
2) Navigate to scoops-builder page
3) Verify that all text is spelled correctly</t>
  </si>
  <si>
    <t>There should be no spelling mistakes on the order-tracking page</t>
  </si>
  <si>
    <t>REQ-UI-004_TC-001</t>
  </si>
  <si>
    <t>There should be a confirmation popup when a treat is added to the basket</t>
  </si>
  <si>
    <t>Pop up with confirmation that treat was added to basket</t>
  </si>
  <si>
    <t>REQ-UI-004_TC-002</t>
  </si>
  <si>
    <t>There should be a confirmation popup when an order is successfully checked out</t>
  </si>
  <si>
    <t>REQ-UI-005_TC-001</t>
  </si>
  <si>
    <t>Trying to create a treat with four flavours should return a detailed error message</t>
  </si>
  <si>
    <t>Order request failed: Failed to create order: {"detail":"Treat cannot contain more than 3 flavours","title":"Invalid treat","status":400,"timestamp":"2025-12-20T14:20:18.026972200Z"}</t>
  </si>
  <si>
    <t>REQ-SI-001_TC-001</t>
  </si>
  <si>
    <t>A GET request to /api/product should return a list of products in the JSON format</t>
  </si>
  <si>
    <t>Run a GET request to correct URL using Postman</t>
  </si>
  <si>
    <t>List of products</t>
  </si>
  <si>
    <t>GET http://localhost:8080/api/product</t>
  </si>
  <si>
    <t>List of all available products</t>
  </si>
  <si>
    <t>A GET request to /api/product/1 should return all information about the first product in list</t>
  </si>
  <si>
    <t>REQ-SI-002_TC-001</t>
  </si>
  <si>
    <t>GET http://localhost:8080/api/product/1</t>
  </si>
  <si>
    <t>Test case ID</t>
  </si>
  <si>
    <t>Expected result</t>
  </si>
  <si>
    <t>Actual result</t>
  </si>
  <si>
    <t>[{"productId":1,"productName":"Waffle Cone","price":2.0000,"description":"A classic crispy waffle cone, perfect for any scoop.","ingredients":["Wheat flour","sugar","vegetable oil","eggs","salt"],"type":"CONE"},{"productId":2,"productName":"Sugar Cone","price":1.5000,"description":"A sweet, crunchy cone with a light flavor.","ingredients":["Wheat flour","sugar","corn syrup","vegetable oil","salt"],"type":"CONE"},{"productId":3,"productName":"Cup","price":1.0000,"description":"A simple cup for those who prefer no cone.","ingredients":["Paper","food-safe coating (beeswax, eggs, coconut oil)"],"type":"CONE"},{"productId":4,"productName":"Vanilla","price":1.0000,"description":"Smooth and creamy classic vanilla ice cream.","ingredients":["Milk","cream","sugar","vanilla extract"],"type":"FLAVOR"},{"productId":5,"productName":"Chocolate","price":1.0000,"description":"Rich and indulgent chocolate ice cream.","ingredients":["Milk","cream","sugar","cocoa powder"],"type":"FLAVOR"},{"productId":6,"productName":"Strawberry","price":1.0000,"description":"Sweet and fruity strawberry ice cream.","ingredients":["Milk","cream","sugar","strawberries"],"type":"FLAVOR"},{"productId":7,"productName":"Mint Chocolate Chip","price":1.2000,"description":"Refreshing mint ice cream with chocolate chips.","ingredients":["Milk","cream","sugar","mint extract","chocolate chips"],"type":"FLAVOR"},{"productId":8,"productName":"Salted Caramel","price":1.2500,"description":"Creamy caramel with a hint of sea salt.","ingredients":["Milk","cream","sugar","caramel","sea salt"],"type":"FLAVOR"},{"productId":9,"productName":"Cookies &amp; Cream","price":1.2500,"description":"Classic cookies folded into creamy ice cream.","ingredients":["Milk","cream","sugar","chocolate sandwich cookies"],"type":"FLAVOR"},{"productId":10,"productName":"Pistachio","price":1.3000,"description":"Nutty and smooth pistachio ice cream.","ingredients":["Milk","cream","sugar","pistachios (contains nuts)"],"type":"FLAVOR"},{"productId":11,"productName":"Lemon Sorbet","price":1.1000,"description":"Light and zesty dairy-free lemon sorbet.","ingredients":["Water","sugar","lemon juice","lemon zest"],"type":"FLAVOR"},{"productId":12,"productName":"Sprinkles","price":0.5000,"description":"Colorful candy sprinkles for a fun finish.","ingredients":["Sugar","corn starch","food coloring"],"type":"TOPPING"},{"productId":13,"productName":"Chocolate Chips","price":0.7500,"description":"Crunchy chocolate chips for extra delight.","ingredients":["Sugar","cocoa butter","cocoa mass","milk powder"],"type":"TOPPING"},{"productId":14,"productName":"Caramel Sauce","price":0.8000,"description":"Smooth and sweet caramel sauce drizzle.","ingredients":["Sugar","cream","butter"],"type":"TOPPING"},{"productId":15,"productName":"Hot Fudge","price":0.8500,"description":"Warm chocolate fudge sauce.","ingredients":["Sugar","cocoa","cream","butter"],"type":"TOPPING"},{"productId":16,"productName":"Whipped Cream","price":0.6000,"description":"Light and fluffy whipped cream.","ingredients":["Cream","sugar"],"type":"TOPPING"},{"productId":17,"productName":"Chopped Nuts","price":0.7000,"description":"A crunchy mix of chopped nuts.","ingredients":["Nuts","cinnamon"],"type":"TOPPING"},{"productId":18,"productName":"Fresh Strawberries","price":0.9000,"description":"Sliced fresh strawberries.","ingredients":["Strawberries","sugar"],"type":"TOPPING"}]</t>
  </si>
  <si>
    <t>{id
name
price
description
ingredients
type}</t>
  </si>
  <si>
    <t>{
    "productId": 1,
    "productName": "Waffle Cone",
    "price": 2.0000,
    "description": "A classic crispy waffle cone, perfect for any scoop.",
    "ingredients": [
        "Wheat flour",
        "sugar",
        "vegetable oil",
        "eggs",
        "salt"
    ],
    "type": "CONE"
}</t>
  </si>
  <si>
    <t>REQ-SI-003_TC-001</t>
  </si>
  <si>
    <t>See API_requests</t>
  </si>
  <si>
    <t>A GET request to /api/order/1 should return all information about the first order</t>
  </si>
  <si>
    <t>GET http://localhost:8080/api/order/1</t>
  </si>
  <si>
    <t>{id
orderTime
orderTotal
deliveryCost
estDeliveryMinutes
promotion
basketItems: List of Treat objects.}</t>
  </si>
  <si>
    <t>{
    "orderId": 1,
    "orderTime": "2025-12-20T14:41:00.694073",
    "orderTotal": 5.5000,
    "deliveryCost": 2.5000,
    "estDeliveryMinutes": 23,
    "promotion": null,
    "basketItems": [
        {
            "products": [
                {
                    "productId": 1,
                    "productName": "Waffle Cone",
                    "price": 2.0000,
                    "description": "A classic crispy waffle cone, perfect for any scoop.",
                    "ingredients": [
                        "Wheat flour",
                        "sugar",
                        "vegetable oil",
                        "eggs",
                        "salt"
                    ],
                    "type": "CONE"
                },
                {
                    "productId": 4,
                    "productName": "Vanilla",
                    "price": 1.0000,
                    "description": "Smooth and creamy classic vanilla ice cream.",
                    "ingredients": [
                        "Milk",
                        "cream",
                        "sugar",
                        "vanilla extract"
                    ],
                    "type": "FLAVOR"
                }
            ]
        }
    ]
}</t>
  </si>
  <si>
    <t>REQ-SI-004_TC-001</t>
  </si>
  <si>
    <t>A POST request to /api/order containing a list of treats and a promotion should return its order ID, price and delivery minutes</t>
  </si>
  <si>
    <t>Run a POST request to correct URL using Postman</t>
  </si>
  <si>
    <t>Test data</t>
  </si>
  <si>
    <t>POST http://localhost:8080/api/order
{"promotion": null,
    "basketItems": [
        {
            "products": [
                {
                    "productId": 1,
                    "productName": "Waffle Cone",
                    "price": 2.0000,
                    "description": "A classic crispy waffle cone, perfect for any scoop.",
                    "ingredients": [
                        "Wheat flour",
                        "sugar",
                        "vegetable oil",
                        "eggs",
                        "salt"
                    ],
                    "type": "CONE"
                },
                {
                    "productId": 4,
                    "productName": "Vanilla",
                    "price": 1.0000,
                    "description": "Smooth and creamy classic vanilla ice cream.",
                    "ingredients": [
                        "Milk",
                        "cream",
                        "sugar",
                        "vanilla extract"
                    ],
                    "type": "FLAVOR"
                }
            ]
        }
    ]
}</t>
  </si>
  <si>
    <t>{
    "orderId": 2,
    "orderTime": "2025-12-20T15:04:33.5093275",
    "orderTotal": 5.5000,
    "deliveryCost": 2.5,
    "estDeliveryMinutes": 23,
    "promotion": null,
    "basketItems": [
        {
            "products": [
                {
                    "productId": 1,
                    "productName": "Waffle Cone",
                    "price": 2.0000,
                    "description": "A classic crispy waffle cone, perfect for any scoop.",
                    "ingredients": [
                        "Wheat flour",
                        "sugar",
                        "vegetable oil",
                        "eggs",
                        "salt"
                    ],
                    "type": "CONE"
                },
                {
                    "productId": 4,
                    "productName": "Vanilla",
                    "price": 1.0000,
                    "description": "Smooth and creamy classic vanilla ice cream.",
                    "ingredients": [
                        "Milk",
                        "cream",
                        "sugar",
                        "vanilla extract"
                    ],
                    "type": "FLAVOR"
                }
            ]
        }
    ]
}</t>
  </si>
  <si>
    <t>REQ-SI-005_TC-001</t>
  </si>
  <si>
    <t>A PUT request to /api/order/1 with a new treat list and promotion should allow an order to be updated</t>
  </si>
  <si>
    <t>Run a PUT request to correct URL using Postman</t>
  </si>
  <si>
    <t>PUT http://localhost:8080/api/order/1
{
    "promotion": null,
    "basketItems": [
        {
            "products": [
                {
                    "productId": 1,
                    "productName": "Waffle Cone",
                    "price": 2.0000,
                    "description": "A classic crispy waffle cone, perfect for any scoop.",
                    "ingredients": [
                        "Wheat flour",
                        "sugar",
                        "vegetable oil",
                        "eggs",
                        "salt"
                    ],
                    "type": "CONE"
                },
                {
                    "productId": 4,
                    "productName": "Vanilla",
                    "price": 1.0000,
                    "description": "Smooth and creamy classic vanilla ice cream.",
                    "ingredients": [
                        "Milk",
                        "cream",
                        "sugar",
                        "vanilla extract"
                    ],
                    "type": "FLAVOR"
                },
                {
                    "productId": 1,
                    "productName": "Waffle Cone",
                    "price": 2.0000,
                    "description": "A classic crispy waffle cone, perfect for any scoop.",
                    "ingredients": [
                        "Wheat flour",
                        "sugar",
                        "vegetable oil",
                        "eggs",
                        "salt"
                    ],
                    "type": "CONE"
                },
                {
                    "productId": 4,
                    "productName": "Vanilla",
                    "price": 1.0000,
                    "description": "Smooth and creamy classic vanilla ice cream.",
                    "ingredients": [
                        "Milk",
                        "cream",
                        "sugar",
                        "vanilla extract"
                    ],
                    "type": "FLAVOR"
                }
            ]
        }
    ]
}</t>
  </si>
  <si>
    <t>{id
orderTime
orderTotal
deliveryCost
estDeliveryMinutes
promotion
basketItems: List of Treat objects}</t>
  </si>
  <si>
    <t>{"detail":"Request method 'PUT' is not supported","type":"https://example.com/probs/internal-server-error","title":"Internal server error","status":500,"timestamp":"2025-12-20T15:09:55.299538400Z"}</t>
  </si>
  <si>
    <t>REQ-USE-001_TC-001</t>
  </si>
  <si>
    <t>Creating and checking out an order should take no more than 5 interactions from the homepage</t>
  </si>
  <si>
    <t>1) Open the Scoops2Go webpage
2) Navigate to scoops-builder page
3) Create a valid treat with one cone and one flavour
4) Add treat to basket
5) Navigate to cart page
6) Click checkout
7) Verify that less than 5 interactions took place</t>
  </si>
  <si>
    <t>Less than 5 interactions</t>
  </si>
  <si>
    <t>Six interactions</t>
  </si>
  <si>
    <t>REQ-USE-002_TC-001</t>
  </si>
  <si>
    <t>Customer satisfaction survey</t>
  </si>
  <si>
    <t>Over 80% favourable views</t>
  </si>
  <si>
    <t>Blocked</t>
  </si>
  <si>
    <t>REQ-USE-003_TC-001</t>
  </si>
  <si>
    <t>Orders have been created by over 100 users</t>
  </si>
  <si>
    <t>Less than 10% of customers should view the website unfavourably after placing an order</t>
  </si>
  <si>
    <t>Over 80% of customers should view the website favourible after placing an order</t>
  </si>
  <si>
    <t>Ask users to complete a survey which lets them rate the website from 1-10, confirm that average ratings of 6-10 is over 80% of users</t>
  </si>
  <si>
    <t>Ask users to complete a survey which lets them rate the website from 1-10, confirm that average scores of 1-5 are below 10% of users</t>
  </si>
  <si>
    <t>Less than 10% unfavourable views</t>
  </si>
  <si>
    <t>REQ-PER-001_TC-001</t>
  </si>
  <si>
    <t>API and website running whilst under usual load</t>
  </si>
  <si>
    <t>Confirmation messages for adding a treat to the basket should be displayed to the user between 3 and 6 seconds after submitting a request</t>
  </si>
  <si>
    <t>Whilst under normal running conditions:
1) Open the Scoops2Go webpage
2) Navigate to scoops-builder page
3) Create a valid treat with one cone and one flavour
4) Add treat to basket
5) Verify that a confirmation message was received between 3 and 6 seconds</t>
  </si>
  <si>
    <t>REQ-PER-001_TC-002</t>
  </si>
  <si>
    <t>Confirmation messages for checking out an order should be displayed to the user between 3 and 6 seconds after submitting a request</t>
  </si>
  <si>
    <t>Whilst under normal running conditions:
1) Open the Scoops2Go webpage
2) Navigate to scoops-builder page
3) Create a valid treat with one cone and one flavour
4) Add treat to basket
5) Navigate to cart page
6) Check out order
7) Verify that confirmation message was received between 3 and 6 seconds</t>
  </si>
  <si>
    <t>Message displayed below a maximum average of 6 seconds</t>
  </si>
  <si>
    <t>REQ-PER-002_TC-001</t>
  </si>
  <si>
    <t>GET request to API/product should be returned in under 500 milliseconds</t>
  </si>
  <si>
    <t>Returned in under 500 milliseconds</t>
  </si>
  <si>
    <t>REQ-PER-002_TC-002</t>
  </si>
  <si>
    <t>REQ-PER-002_TC-003</t>
  </si>
  <si>
    <t>GET request to API/product/1 should be returned in under 500 milliseconds</t>
  </si>
  <si>
    <t>GET request to API/order/1 should be returned in under 500 milliseconds</t>
  </si>
  <si>
    <t>REQ-PER-003_TC-001</t>
  </si>
  <si>
    <t>Estimated delivery duration should be returned within 1 second of basket submission with 10 maximum sized treats in the basket</t>
  </si>
  <si>
    <t>{
    "promotion": null,
    "basketItems": [
        {
            "products": [
                {
                    "productId": 1,
                    "productName": "Waffle Cone",
                    "price": 2.0000,
                    "description": "A classic crispy waffle cone, perfect for any scoop.",
                    "ingredients": [
                        "Wheat flour",
                        "sugar",
                        "vegetable oil",
                        "eggs",
                        "salt"
                    ],
                    "type": "CONE"
                },
                {
                    "productId": 4,
                    "productName": "Vanilla",
                    "price": 1.0000,
                    "description": "Smooth and creamy classic vanilla ice cream.",
                    "ingredients": [
                        "Milk",
                        "cream",
                        "sugar",
                        "vanilla extract"
                    ],
                    "type": "FLAVOR"
                },
                {
                    "productId": 5,
                    "productName": "Chocolate",
                    "price": 1.0000,
                    "description": "Rich and indulgent chocolate ice cream.",
                    "ingredients": [
                        "Milk",
                        "cream",
                        "sugar",
                        "cocoa powder"
                    ],
                    "type": "FLAVOR"
                },
                {
                    "productId": 6,
                    "productName": "Strawberry",
                    "price": 1.0000,
                    "description": "Sweet and fruity strawberry ice cream.",
                    "ingredients": [
                        "Milk",
                        "cream",
                        "sugar",
                        "strawberries"
                    ],
                    "type": "FLAVOR"
                },
                {
                    "productId": 12,
                    "productName": "Sprinkles",
                    "price": 0.5000,
                    "description": "Colorful candy sprinkles for a fun finish.",
                    "ingredients": [
                        "Sugar",
                        "corn starch",
                        "food coloring"
                    ],
                    "type": "TOPPING"
                },
                {
                    "productId": 13,
                    "productName": "Chocolate Chips",
                    "price": 0.7500,
                    "description": "Crunchy chocolate chips for extra delight.",
                    "ingredients": [
                        "Sugar",
                        "cocoa butter",
                        "cocoa mass",
                        "milk powder"
                    ],
                    "type": "TOPPING"
                },
                {
                    "productId": 14,
                    "productName": "Caramel Sauce",
                    "price": 0.8000,
                    "description": "Smooth and sweet caramel sauce drizzle.",
                    "ingredients": [
                        "Sugar",
                        "cream",
                        "butter"
                    ],
                    "type": "TOPPING"
                },
                {
                    "productId": 15,
                    "productName": "Hot Fudge",
                    "price": 0.8500,
                    "description": "Warm chocolate fudge sauce.",
                    "ingredients": [
                        "Sugar",
                        "cocoa",
                        "cream",
                        "butter"
                    ],
                    "type": "TOPPING"
                },
                {
                    "productId": 16,
                    "productName": "Whipped Cream",
                    "price": 0.6000,
                    "description": "Light and fluffy whipped cream.",
                    "ingredients": [
                        "Cream",
                        "sugar"
                    ],
                    "type": "TOPPING"
                }
            ]
        },
        {
            "products": [
                {
                    "productId": 1,
                    "productName": "Waffle Cone",
                    "price": 2.0000,
                    "description": "A classic crispy waffle cone, perfect for any scoop.",
                    "ingredients": [
                        "Wheat flour",
                        "sugar",
                        "vegetable oil",
                        "eggs",
                        "salt"
                    ],
                    "type": "CONE"
                },
                {
                    "productId": 4,
                    "productName": "Vanilla",
                    "price": 1.0000,
                    "description": "Smooth and creamy classic vanilla ice cream.",
                    "ingredients": [
                        "Milk",
                        "cream",
                        "sugar",
                        "vanilla extract"
                    ],
                    "type": "FLAVOR"
                },
                {
                    "productId": 5,
                    "productName": "Chocolate",
                    "price": 1.0000,
                    "description": "Rich and indulgent chocolate ice cream.",
                    "ingredients": [
                        "Milk",
                        "cream",
                        "sugar",
                        "cocoa powder"
                    ],
                    "type": "FLAVOR"
                },
                {
                    "productId": 6,
                    "productName": "Strawberry",
                    "price": 1.0000,
                    "description": "Sweet and fruity strawberry ice cream.",
                    "ingredients": [
                        "Milk",
                        "cream",
                        "sugar",
                        "strawberries"
                    ],
                    "type": "FLAVOR"
                },
                {
                    "productId": 12,
                    "productName": "Sprinkles",
                    "price": 0.5000,
                    "description": "Colorful candy sprinkles for a fun finish.",
                    "ingredients": [
                        "Sugar",
                        "corn starch",
                        "food coloring"
                    ],
                    "type": "TOPPING"
                },
                {
                    "productId": 13,
                    "productName": "Chocolate Chips",
                    "price": 0.7500,
                    "description": "Crunchy chocolate chips for extra delight.",
                    "ingredients": [
                        "Sugar",
                        "cocoa butter",
                        "cocoa mass",
                        "milk powder"
                    ],
                    "type": "TOPPING"
                },
                {
                    "productId": 14,
                    "productName": "Caramel Sauce",
                    "price": 0.8000,
                    "description": "Smooth and sweet caramel sauce drizzle.",
                    "ingredients": [
                        "Sugar",
                        "cream",
                        "butter"
                    ],
                    "type": "TOPPING"
                },
                {
                    "productId": 15,
                    "productName": "Hot Fudge",
                    "price": 0.8500,
                    "description": "Warm chocolate fudge sauce.",
                    "ingredients": [
                        "Sugar",
                        "cocoa",
                        "cream",
                        "butter"
                    ],
                    "type": "TOPPING"
                },
                {
                    "productId": 16,
                    "productName": "Whipped Cream",
                    "price": 0.6000,
                    "description": "Light and fluffy whipped cream.",
                    "ingredients": [
                        "Cream",
                        "sugar"
                    ],
                    "type": "TOPPING"
                }
            ]
        },
        {
            "products": [
                {
                    "productId": 1,
                    "productName": "Waffle Cone",
                    "price": 2.0000,
                    "description": "A classic crispy waffle cone, perfect for any scoop.",
                    "ingredients": [
                        "Wheat flour",
                        "sugar",
                        "vegetable oil",
                        "eggs",
                        "salt"
                    ],
                    "type": "CONE"
                },
                {
                    "productId": 4,
                    "productName": "Vanilla",
                    "price": 1.0000,
                    "description": "Smooth and creamy classic vanilla ice cream.",
                    "ingredients": [
                        "Milk",
                        "cream",
                        "sugar",
                        "vanilla extract"
                    ],
                    "type": "FLAVOR"
                },
                {
                    "productId": 5,
                    "productName": "Chocolate",
                    "price": 1.0000,
                    "description": "Rich and indulgent chocolate ice cream.",
                    "ingredients": [
                        "Milk",
                        "cream",
                        "sugar",
                        "cocoa powder"
                    ],
                    "type": "FLAVOR"
                },
                {
                    "productId": 6,
                    "productName": "Strawberry",
                    "price": 1.0000,
                    "description": "Sweet and fruity strawberry ice cream.",
                    "ingredients": [
                        "Milk",
                        "cream",
                        "sugar",
                        "strawberries"
                    ],
                    "type": "FLAVOR"
                },
                {
                    "productId": 12,
                    "productName": "Sprinkles",
                    "price": 0.5000,
                    "description": "Colorful candy sprinkles for a fun finish.",
                    "ingredients": [
                        "Sugar",
                        "corn starch",
                        "food coloring"
                    ],
                    "type": "TOPPING"
                },
                {
                    "productId": 13,
                    "productName": "Chocolate Chips",
                    "price": 0.7500,
                    "description": "Crunchy chocolate chips for extra delight.",
                    "ingredients": [
                        "Sugar",
                        "cocoa butter",
                        "cocoa mass",
                        "milk powder"
                    ],
                    "type": "TOPPING"
                },
                {
                    "productId": 14,
                    "productName": "Caramel Sauce",
                    "price": 0.8000,
                    "description": "Smooth and sweet caramel sauce drizzle.",
                    "ingredients": [
                        "Sugar",
                        "cream",
                        "butter"
                    ],
                    "type": "TOPPING"
                },
                {
                    "productId": 15,
                    "productName": "Hot Fudge",
                    "price": 0.8500,
                    "description": "Warm chocolate fudge sauce.",
                    "ingredients": [
                        "Sugar",
                        "cocoa",
                        "cream",
                        "butter"
                    ],
                    "type": "TOPPING"
                },
                {
                    "productId": 16,
                    "productName": "Whipped Cream",
                    "price": 0.6000,
                    "description": "Light and fluffy whipped cream.",
                    "ingredients": [
                        "Cream",
                        "sugar"
                    ],
                    "type": "TOPPING"
                }
            ]
        },
        {
            "products": [
                {
                    "productId": 1,
                    "productName": "Waffle Cone",
                    "price": 2.0000,
                    "description": "A classic crispy waffle cone, perfect for any scoop.",
                    "ingredients": [
                        "Wheat flour",
                        "sugar",
                        "vegetable oil",
                        "eggs",
                        "salt"
                    ],
                    "type": "CONE"
                },
                {
                    "productId": 4,
                    "productName": "Vanilla",
                    "price": 1.0000,
                    "description": "Smooth and creamy classic vanilla ice cream.",
                    "ingredients": [
                        "Milk",
                        "cream",
                        "sugar",
                        "vanilla extract"
                    ],
                    "type": "FLAVOR"
                },
                {
                    "productId": 5,
                    "productName": "Chocolate",
                    "price": 1.0000,
                    "description": "Rich and indulgent chocolate ice cream.",
                    "ingredients": [
                        "Milk",
                        "cream",
                        "sugar",
                        "cocoa powder"
                    ],
                    "type": "FLAVOR"
                },
                {
                    "productId": 6,
                    "productName": "Strawberry",
                    "price": 1.0000,
                    "description": "Sweet and fruity strawberry ice cream.",
                    "ingredients": [
                        "Milk",
                        "cream",
                        "sugar",
                        "strawberries"
                    ],
                    "type": "FLAVOR"
                },
                {
                    "productId": 12,
                    "productName": "Sprinkles",
                    "price": 0.5000,
                    "description": "Colorful candy sprinkles for a fun finish.",
                    "ingredients": [
                        "Sugar",
                        "corn starch",
                        "food coloring"
                    ],
                    "type": "TOPPING"
                },
                {
                    "productId": 13,
                    "productName": "Chocolate Chips",
                    "price": 0.7500,
                    "description": "Crunchy chocolate chips for extra delight.",
                    "ingredients": [
                        "Sugar",
                        "cocoa butter",
                        "cocoa mass",
                        "milk powder"
                    ],
                    "type": "TOPPING"
                },
                {
                    "productId": 14,
                    "productName": "Caramel Sauce",
                    "price": 0.8000,
                    "description": "Smooth and sweet caramel sauce drizzle.",
                    "ingredients": [
                        "Sugar",
                        "cream",
                        "butter"
                    ],
                    "type": "TOPPING"
                },
                {
                    "productId": 15,
                    "productName": "Hot Fudge",
                    "price": 0.8500,
                    "description": "Warm chocolate fudge sauce.",
                    "ingredients": [
                        "Sugar",
                        "cocoa",
                        "cream",
                        "butter"
                    ],
                    "type": "TOPPING"
                },
                {
                    "productId": 16,
                    "productName": "Whipped Cream",
                    "price": 0.6000,
                    "description": "Light and fluffy whipped cream.",
                    "ingredients": [
                        "Cream",
                        "sugar"
                    ],
                    "type": "TOPPING"
                }
            ]
        },
        {
            "products": [
                {
                    "productId": 1,
                    "productName": "Waffle Cone",
                    "price": 2.0000,
                    "description": "A classic crispy waffle cone, perfect for any scoop.",
                    "ingredients": [
                        "Wheat flour",
                        "sugar",
                        "vegetable oil",
                        "eggs",
                        "salt"
                    ],
                    "type": "CONE"
                },
                {
                    "productId": 4,
                    "productName": "Vanilla",
                    "price": 1.0000,
                    "description": "Smooth and creamy classic vanilla ice cream.",
                    "ingredients": [
                        "Milk",
                        "cream",
                        "sugar",
                        "vanilla extract"
                    ],
                    "type": "FLAVOR"
                },
                {
                    "productId": 5,
                    "productName": "Chocolate",
                    "price": 1.0000,
                    "description": "Rich and indulgent chocolate ice cream.",
                    "ingredients": [
                        "Milk",
                        "cream",
                        "sugar",
                        "cocoa powder"
                    ],
                    "type": "FLAVOR"
                },
                {
                    "productId": 6,
                    "productName": "Strawberry",
                    "price": 1.0000,
                    "description": "Sweet and fruity strawberry ice cream.",
                    "ingredients": [
                        "Milk",
                        "cream",
                        "sugar",
                        "strawberries"
                    ],
                    "type": "FLAVOR"
                },
                {
                    "productId": 12,
                    "productName": "Sprinkles",
                    "price": 0.5000,
                    "description": "Colorful candy sprinkles for a fun finish.",
                    "ingredients": [
                        "Sugar",
                        "corn starch",
                        "food coloring"
                    ],
                    "type": "TOPPING"
                },
                {
                    "productId": 13,
                    "productName": "Chocolate Chips",
                    "price": 0.7500,
                    "description": "Crunchy chocolate chips for extra delight.",
                    "ingredients": [
                        "Sugar",
                        "cocoa butter",
                        "cocoa mass",
                        "milk powder"
                    ],
                    "type": "TOPPING"
                },
                {
                    "productId": 14,
                    "productName": "Caramel Sauce",
                    "price": 0.8000,
                    "description": "Smooth and sweet caramel sauce drizzle.",
                    "ingredients": [
                        "Sugar",
                        "cream",
                        "butter"
                    ],
                    "type": "TOPPING"
                },
                {
                    "productId": 15,
                    "productName": "Hot Fudge",
                    "price": 0.8500,
                    "description": "Warm chocolate fudge sauce.",
                    "ingredients": [
                        "Sugar",
                        "cocoa",
                        "cream",
                        "butter"
                    ],
                    "type": "TOPPING"
                },
                {
                    "productId": 16,
                    "productName": "Whipped Cream",
                    "price": 0.6000,
                    "description": "Light and fluffy whipped cream.",
                    "ingredients": [
                        "Cream",
                        "sugar"
                    ],
                    "type": "TOPPING"
                }
            ]
        },
        {
            "products": [
                {
                    "productId": 1,
                    "productName": "Waffle Cone",
                    "price": 2.0000,
                    "description": "A classic crispy waffle cone, perfect for any scoop.",
                    "ingredients": [
                        "Wheat flour",
                        "sugar",
                        "vegetable oil",
                        "eggs",
                        "salt"
                    ],
                    "type": "CONE"
                },
                {
                    "productId": 4,
                    "productName": "Vanilla",
                    "price": 1.0000,
                    "description": "Smooth and creamy classic vanilla ice cream.",
                    "ingredients": [
                        "Milk",
                        "cream",
                        "sugar",
                        "vanilla extract"
                    ],
                    "type": "FLAVOR"
                },
                {
                    "productId": 5,
                    "productName": "Chocolate",
                    "price": 1.0000,
                    "description": "Rich and indulgent chocolate ice cream.",
                    "ingredients": [
                        "Milk",
                        "cream",
                        "sugar",
                        "cocoa powder"
                    ],
                    "type": "FLAVOR"
                },
                {
                    "productId": 6,
                    "productName": "Strawberry",
                    "price": 1.0000,
                    "description": "Sweet and fruity strawberry ice cream.",
                    "ingredients": [
                        "Milk",
                        "cream",
                        "sugar",
                        "strawberries"
                    ],
                    "type": "FLAVOR"
                },
                {
                    "productId": 12,
                    "productName": "Sprinkles",
                    "price": 0.5000,
                    "description": "Colorful candy sprinkles for a fun finish.",
                    "ingredients": [
                        "Sugar",
                        "corn starch",
                        "food coloring"
                    ],
                    "type": "TOPPING"
                },
                {
                    "productId": 13,
                    "productName": "Chocolate Chips",
                    "price": 0.7500,
                    "description": "Crunchy chocolate chips for extra delight.",
                    "ingredients": [
                        "Sugar",
                        "cocoa butter",
                        "cocoa mass",
                        "milk powder"
                    ],
                    "type": "TOPPING"
                },
                {
                    "productId": 14,
                    "productName": "Caramel Sauce",
                    "price": 0.8000,
                    "description": "Smooth and sweet caramel sauce drizzle.",
                    "ingredients": [
                        "Sugar",
                        "cream",
                        "butter"
                    ],
                    "type": "TOPPING"
                },
                {
                    "productId": 15,
                    "productName": "Hot Fudge",
                    "price": 0.8500,
                    "description": "Warm chocolate fudge sauce.",
                    "ingredients": [
                        "Sugar",
                        "cocoa",
                        "cream",
                        "butter"
                    ],
                    "type": "TOPPING"
                },
                {
                    "productId": 16,
                    "productName": "Whipped Cream",
                    "price": 0.6000,
                    "description": "Light and fluffy whipped cream.",
                    "ingredients": [
                        "Cream",
                        "sugar"
                    ],
                    "type": "TOPPING"
                }
            ]
        },
        {
            "products": [
                {
                    "productId": 1,
                    "productName": "Waffle Cone",
                    "price": 2.0000,
                    "description": "A classic crispy waffle cone, perfect for any scoop.",
                    "ingredients": [
                        "Wheat flour",
                        "sugar",
                        "vegetable oil",
                        "eggs",
                        "salt"
                    ],
                    "type": "CONE"
                },
                {
                    "productId": 4,
                    "productName": "Vanilla",
                    "price": 1.0000,
                    "description": "Smooth and creamy classic vanilla ice cream.",
                    "ingredients": [
                        "Milk",
                        "cream",
                        "sugar",
                        "vanilla extract"
                    ],
                    "type": "FLAVOR"
                },
                {
                    "productId": 5,
                    "productName": "Chocolate",
                    "price": 1.0000,
                    "description": "Rich and indulgent chocolate ice cream.",
                    "ingredients": [
                        "Milk",
                        "cream",
                        "sugar",
                        "cocoa powder"
                    ],
                    "type": "FLAVOR"
                },
                {
                    "productId": 6,
                    "productName": "Strawberry",
                    "price": 1.0000,
                    "description": "Sweet and fruity strawberry ice cream.",
                    "ingredients": [
                        "Milk",
                        "cream",
                        "sugar",
                        "strawberries"
                    ],
                    "type": "FLAVOR"
                },
                {
                    "productId": 12,
                    "productName": "Sprinkles",
                    "price": 0.5000,
                    "description": "Colorful candy sprinkles for a fun finish.",
                    "ingredients": [
                        "Sugar",
                        "corn starch",
                        "food coloring"
                    ],
                    "type": "TOPPING"
                },
                {
                    "productId": 13,
                    "productName": "Chocolate Chips",
                    "price": 0.7500,
                    "description": "Crunchy chocolate chips for extra delight.",
                    "ingredients": [
                        "Sugar",
                        "cocoa butter",
                        "cocoa mass",
                        "milk powder"
                    ],
                    "type": "TOPPING"
                },
                {
                    "productId": 14,
                    "productName": "Caramel Sauce",
                    "price": 0.8000,
                    "description": "Smooth and sweet caramel sauce drizzle.",
                    "ingredients": [
                        "Sugar",
                        "cream",
                        "butter"
                    ],
                    "type": "TOPPING"
                },
                {
                    "productId": 15,
                    "productName": "Hot Fudge",
                    "price": 0.8500,
                    "description": "Warm chocolate fudge sauce.",
                    "ingredients": [
                        "Sugar",
                        "cocoa",
                        "cream",
                        "butter"
                    ],
                    "type": "TOPPING"
                },
                {
                    "productId": 16,
                    "productName": "Whipped Cream",
                    "price": 0.6000,
                    "description": "Light and fluffy whipped cream.",
                    "ingredients": [
                        "Cream",
                        "sugar"
                    ],
                    "type": "TOPPING"
                }
            ]
        },
        {
            "products": [
                {
                    "productId": 1,
                    "productName": "Waffle Cone",
                    "price": 2.0000,
                    "description": "A classic crispy waffle cone, perfect for any scoop.",
                    "ingredients": [
                        "Wheat flour",
                        "sugar",
                        "vegetable oil",
                        "eggs",
                        "salt"
                    ],
                    "type": "CONE"
                },
                {
                    "productId": 4,
                    "productName": "Vanilla",
                    "price": 1.0000,
                    "description": "Smooth and creamy classic vanilla ice cream.",
                    "ingredients": [
                        "Milk",
                        "cream",
                        "sugar",
                        "vanilla extract"
                    ],
                    "type": "FLAVOR"
                },
                {
                    "productId": 5,
                    "productName": "Chocolate",
                    "price": 1.0000,
                    "description": "Rich and indulgent chocolate ice cream.",
                    "ingredients": [
                        "Milk",
                        "cream",
                        "sugar",
                        "cocoa powder"
                    ],
                    "type": "FLAVOR"
                },
                {
                    "productId": 6,
                    "productName": "Strawberry",
                    "price": 1.0000,
                    "description": "Sweet and fruity strawberry ice cream.",
                    "ingredients": [
                        "Milk",
                        "cream",
                        "sugar",
                        "strawberries"
                    ],
                    "type": "FLAVOR"
                },
                {
                    "productId": 12,
                    "productName": "Sprinkles",
                    "price": 0.5000,
                    "description": "Colorful candy sprinkles for a fun finish.",
                    "ingredients": [
                        "Sugar",
                        "corn starch",
                        "food coloring"
                    ],
                    "type": "TOPPING"
                },
                {
                    "productId": 13,
                    "productName": "Chocolate Chips",
                    "price": 0.7500,
                    "description": "Crunchy chocolate chips for extra delight.",
                    "ingredients": [
                        "Sugar",
                        "cocoa butter",
                        "cocoa mass",
                        "milk powder"
                    ],
                    "type": "TOPPING"
                },
                {
                    "productId": 14,
                    "productName": "Caramel Sauce",
                    "price": 0.8000,
                    "description": "Smooth and swe</t>
  </si>
  <si>
    <t>Returned in 70 milliseconds</t>
  </si>
  <si>
    <t>Returned in under 1000 milliseconds</t>
  </si>
  <si>
    <t>REQ-PER-004_TC-001</t>
  </si>
  <si>
    <t>The website should remain active 99.5% of the time between 8:00AM and 10:00 PM UK time, excluding maintenance</t>
  </si>
  <si>
    <t>API and website both running successfully for 1 month</t>
  </si>
  <si>
    <t>Verify that downtime is within required parameters</t>
  </si>
  <si>
    <t>System uptime is above 99.5%</t>
  </si>
  <si>
    <t>REQ-SEC-001_TC-001</t>
  </si>
  <si>
    <t>The third party payment provider should follow UK GDPR standard</t>
  </si>
  <si>
    <t>REQ-SEC-001_TC-002</t>
  </si>
  <si>
    <t>The third party payment provider should follow PCI-DSS standards</t>
  </si>
  <si>
    <t>Third party payment gateway working in system</t>
  </si>
  <si>
    <t>Verify that payment provider is following GDPR standards</t>
  </si>
  <si>
    <t>Verify that payment provider is following PCI-DSS standards</t>
  </si>
  <si>
    <t>GDPR standards followed</t>
  </si>
  <si>
    <t>PCI-DSS standards followed</t>
  </si>
  <si>
    <t>REQ-SEC-002_TC-001</t>
  </si>
  <si>
    <t>The system should use a session token or identifier to prevent unauthorised access to orders</t>
  </si>
  <si>
    <t>Check front-end application code and confirm that authentication is required before returning an order</t>
  </si>
  <si>
    <t>Session token or identifier is required before an order is returned</t>
  </si>
  <si>
    <t>No session token or identifier used, system allows all requests</t>
  </si>
  <si>
    <t>REQ-SEC-003_TC-001</t>
  </si>
  <si>
    <t>The system should prevent common web vulnerabilities</t>
  </si>
  <si>
    <t>Snyk running on application code</t>
  </si>
  <si>
    <t>Check Snyk analysis and confirm that there are no vulnerabilities</t>
  </si>
  <si>
    <t>System codebase</t>
  </si>
  <si>
    <t>No vulnerabilities detected</t>
  </si>
  <si>
    <t>Multiple vulnerabilities found</t>
  </si>
  <si>
    <t>REQ-SAF-001_TC-001</t>
  </si>
  <si>
    <t>Each product should display a list of ingredients below it</t>
  </si>
  <si>
    <t>1) Open the Scoops2Go webpage
2) Navigate to scoops-builder page
3) Confirm that each available product in the list shows its ingredients</t>
  </si>
  <si>
    <t>All products display their ingredients</t>
  </si>
  <si>
    <t>REQ-SAF-002_TC-001</t>
  </si>
  <si>
    <t>ingredients which contain the 14 allergens in UK food law should be displayed in bold</t>
  </si>
  <si>
    <t>1) Open the Scoops2Go webpage
2) Navigate to scoops-builder page
3) Confirm that product ingredients that are allergens are displayed in bold</t>
  </si>
  <si>
    <t>All allergen ingredients are displayed in bold</t>
  </si>
  <si>
    <t>Multiple instances of non-bold allergens, including cream, pistachios and eggs</t>
  </si>
  <si>
    <t>REQ-UI-003_TC-005</t>
  </si>
  <si>
    <t>The website should still be accessible when viewing in dark mode</t>
  </si>
  <si>
    <t>1) Change browser appearance to dark mode
2) Navigate to Scoops2Go webpage
3) Confirm that the webpage is still viewable using WAVE</t>
  </si>
  <si>
    <t>WAVE evaluation tool</t>
  </si>
  <si>
    <t>AIM score above 8</t>
  </si>
  <si>
    <t>AIM score at 1.9, multiple contrast errors</t>
  </si>
  <si>
    <t>1) Navigate to Scoops2Go/scoops-builder webpage
2) Select cone type (see Test Data)
3) Select flavour type (see Test Data)
4) Add to basket
5) Verify that an Order ID is displayed to user</t>
  </si>
  <si>
    <t>1) Navigate to Scoops2Go/scoops-builder webpage
2) Select cone type (see Test Data)
3) Select flavour type (see Test Data)
4) Add to basket
5) Checkout order
6) Repeat steps 2-5
7) Verify that a new order ID has been created</t>
  </si>
  <si>
    <t>1) Open the Scoops2Go webpage
2) Navigate to scoops-builder page using keyboard
3) Select cone type (see Test Data)
4) Select flavour type (see Test Data)
5) Add to basket
6) Navigate to cart page
7) Press checkout
8) Navigate to order-tracking page
9) Enter order number
10) Press Find Order
11) Verify that all actions were possible using the keyboard</t>
  </si>
  <si>
    <t>1) Open the Scoops2Go webpage
2) Navigate to scoops-builder page
3) Select a cone type (see Test Data)
4) Select flavour type (see Test Data)
5) Add to basket
6) Navigate to cart page
7) Verify that all text is spelled correctly</t>
  </si>
  <si>
    <t>1) Open the Scoops2Go webpage
2) Navigate to scoops-builder page
3) Select a cone type (see Test Data)
4) Select flavour type (see Test Data)
5) Add to basket
6) Navigate to cart page
7) Click checkout
8) Verify that the order-tracking page has no spelling mistakes</t>
  </si>
  <si>
    <t>1) Open the Scoops2Go webpage
2) Navigate to scoops-builder page
3) Select a cone type (see Test Data)
4) Select flavour type (see Test Data)
5) Add to basket
6) Verify that a pop-up displayed confirmation</t>
  </si>
  <si>
    <t>1) Open the Scoops2Go webpage
2) Navigate to scoops-builder page
3) Select a cone type (see Test Data)
4) Select flavour type (see Test Data)
5) Add to basket
6) Navigate to cart page
7) Click checkout
8) Verify that a confirmation pop-up appeared</t>
  </si>
  <si>
    <t>1) Open the Scoops2Go webpage
2) Navigate to scoops-builder page
3) Select flavour type (see Test Data)
4) Select flavour type (see Test Data)
5) Select flavour type (see Test Data)
6) Select flavour type (see Test Data)
7) Attempt to add to basket
8) Verify that an error message was displayed</t>
  </si>
  <si>
    <t>Flavour "Vanilla"
Flavour "Chocolate"
Flavour "Strawberry"
Flavour "Mint chocolate chip"</t>
  </si>
  <si>
    <t>Pop up with confirmation: "Order updated, treat added to basket"</t>
  </si>
  <si>
    <t>Order confirmation with checkout ID displayed</t>
  </si>
  <si>
    <t>REQ-UI-003_TC-006</t>
  </si>
  <si>
    <t>API and website both running successfully, website being checked by WAVE</t>
  </si>
  <si>
    <t>Pop up error message displayed: "You can only have 3 flavours in a treat"</t>
  </si>
  <si>
    <t>Flavour "Vanilla"
Flavour "Chocolate"
Flavour "Strawberry"
Flavour "Mint chocolate chip"
Cone "Waffle cone"</t>
  </si>
  <si>
    <t>Order request failed: Failed to create order: {"detail":"Treat cannot contain more than 3 flavours","title":"Invalid treat","status":400,"timestamp":"2025-12-22T12:41:29.397750500Z"}</t>
  </si>
  <si>
    <t>Pop-up error messages should be clear for the user</t>
  </si>
  <si>
    <t>Pop up with confirmation message "Order successful, order ID is:"</t>
  </si>
  <si>
    <t>Confirmation messages for adding a treat to the basket should be displayed to the user between 3 and 6 seconds after submitting a request with the maximum sized treat allowed</t>
  </si>
  <si>
    <t>Whilst under normal running conditions:
1) Open the Scoops2Go webpage
2) Navigate to scoops-builder page
3) Create a valid treat with one cone, three flavours and five toppings
4) Add treat to basket
5) Verify that a confirmation message was received between 3 and 6 seconds</t>
  </si>
  <si>
    <t>Cone "Waffle cone"
Flavour "Vanilla"
Flavour "Chocolate"
Flavour "Strawberry"
Topping "Sprinkles"
Topping "Chocolate chips"
Topping "Caramel sauce"
Topping "Hot fudge"
Topping "Whipped cream"</t>
  </si>
  <si>
    <t>REQ-FR-012_TC-021</t>
  </si>
  <si>
    <t>REQ-FR-012_TC-022</t>
  </si>
  <si>
    <t>REQ-FR-012_TC-023</t>
  </si>
  <si>
    <t>REQ-FR-012_TC-024</t>
  </si>
  <si>
    <t>REQ-FR-012_TC-025</t>
  </si>
  <si>
    <t>Cones are displayed in dollars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</si>
</sst>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0.00_ ;\-#,##0.00\ "/>
  </numFmts>
  <fonts count="5"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00B050"/>
        <bgColor indexed="64"/>
      </patternFill>
    </fill>
  </fills>
  <borders count="9">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9" tint="0.39997558519241921"/>
      </left>
      <right style="thin">
        <color indexed="64"/>
      </right>
      <top style="thin">
        <color theme="9" tint="0.39997558519241921"/>
      </top>
      <bottom style="thin">
        <color theme="9" tint="0.39997558519241921"/>
      </bottom>
      <diagonal/>
    </border>
  </borders>
  <cellStyleXfs count="2">
    <xf numFmtId="0" fontId="0" fillId="0" borderId="0"/>
    <xf numFmtId="44" fontId="3" fillId="0" borderId="0" applyFont="0" applyFill="0" applyBorder="0" applyAlignment="0" applyProtection="0"/>
  </cellStyleXfs>
  <cellXfs count="14">
    <xf numFmtId="0" fontId="0" fillId="0" borderId="0" xfId="0"/>
    <xf numFmtId="0" fontId="0" fillId="0" borderId="0" xfId="0" applyAlignment="1">
      <alignmen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3" borderId="2" xfId="0" applyFont="1" applyFill="1" applyBorder="1" applyAlignment="1">
      <alignment wrapText="1"/>
    </xf>
    <xf numFmtId="0" fontId="1" fillId="3" borderId="1" xfId="0" applyFont="1" applyFill="1" applyBorder="1" applyAlignment="1">
      <alignment wrapText="1"/>
    </xf>
    <xf numFmtId="0" fontId="1" fillId="3" borderId="3" xfId="0" applyFont="1" applyFill="1" applyBorder="1" applyAlignment="1">
      <alignment wrapText="1"/>
    </xf>
    <xf numFmtId="0" fontId="2" fillId="3" borderId="6" xfId="0" applyFont="1" applyFill="1" applyBorder="1" applyAlignment="1">
      <alignment wrapText="1"/>
    </xf>
    <xf numFmtId="0" fontId="2" fillId="3" borderId="1" xfId="0" applyFont="1" applyFill="1" applyBorder="1" applyAlignment="1">
      <alignment wrapText="1"/>
    </xf>
    <xf numFmtId="0" fontId="2" fillId="3" borderId="7" xfId="0" applyFont="1" applyFill="1" applyBorder="1" applyAlignment="1">
      <alignment wrapText="1"/>
    </xf>
    <xf numFmtId="164" fontId="1" fillId="2" borderId="5" xfId="1" applyNumberFormat="1" applyFont="1" applyFill="1" applyBorder="1" applyAlignment="1">
      <alignment wrapText="1"/>
    </xf>
    <xf numFmtId="0" fontId="1" fillId="2" borderId="8" xfId="0" applyFont="1" applyFill="1" applyBorder="1" applyAlignment="1">
      <alignment wrapText="1"/>
    </xf>
    <xf numFmtId="2" fontId="1" fillId="2" borderId="5" xfId="0" applyNumberFormat="1" applyFont="1" applyFill="1" applyBorder="1" applyAlignment="1">
      <alignment wrapText="1"/>
    </xf>
    <xf numFmtId="0" fontId="1" fillId="2" borderId="5" xfId="0" applyNumberFormat="1" applyFont="1" applyFill="1" applyBorder="1" applyAlignment="1">
      <alignment wrapText="1"/>
    </xf>
  </cellXfs>
  <cellStyles count="2">
    <cellStyle name="Currency" xfId="1" builtinId="4"/>
    <cellStyle name="Normal" xfId="0" builtinId="0"/>
  </cellStyles>
  <dxfs count="54">
    <dxf>
      <fill>
        <patternFill>
          <bgColor theme="0" tint="-4.9989318521683403E-2"/>
        </patternFill>
      </fill>
    </dxf>
    <dxf>
      <fill>
        <patternFill>
          <bgColor theme="8" tint="0.79998168889431442"/>
        </patternFill>
      </fill>
    </dxf>
    <dxf>
      <fill>
        <patternFill>
          <bgColor theme="7" tint="0.79998168889431442"/>
        </patternFill>
      </fill>
    </dxf>
    <dxf>
      <fill>
        <patternFill>
          <bgColor rgb="FF92D050"/>
        </patternFill>
      </fill>
    </dxf>
    <dxf>
      <fill>
        <patternFill>
          <bgColor rgb="FFF9C8AD"/>
        </patternFill>
      </fill>
    </dxf>
    <dxf>
      <fill>
        <patternFill>
          <bgColor theme="5" tint="0.59996337778862885"/>
        </patternFill>
      </fill>
    </dxf>
    <dxf>
      <fill>
        <patternFill>
          <bgColor theme="6" tint="0.79998168889431442"/>
        </patternFill>
      </fill>
    </dxf>
    <dxf>
      <fill>
        <patternFill>
          <bgColor theme="6" tint="0.79998168889431442"/>
        </patternFill>
      </fill>
    </dxf>
    <dxf>
      <fill>
        <patternFill>
          <bgColor theme="3" tint="0.79998168889431442"/>
        </patternFill>
      </fill>
    </dxf>
    <dxf>
      <fill>
        <patternFill>
          <bgColor theme="0" tint="-4.9989318521683403E-2"/>
        </patternFill>
      </fill>
    </dxf>
    <dxf>
      <fill>
        <patternFill>
          <bgColor theme="8" tint="0.79998168889431442"/>
        </patternFill>
      </fill>
    </dxf>
    <dxf>
      <fill>
        <patternFill>
          <bgColor theme="7" tint="0.79998168889431442"/>
        </patternFill>
      </fill>
    </dxf>
    <dxf>
      <fill>
        <patternFill>
          <bgColor rgb="FF92D050"/>
        </patternFill>
      </fill>
    </dxf>
    <dxf>
      <fill>
        <patternFill>
          <bgColor rgb="FFF9C8AD"/>
        </patternFill>
      </fill>
    </dxf>
    <dxf>
      <fill>
        <patternFill>
          <bgColor theme="5" tint="0.59996337778862885"/>
        </patternFill>
      </fill>
    </dxf>
    <dxf>
      <fill>
        <patternFill>
          <bgColor theme="6" tint="0.79998168889431442"/>
        </patternFill>
      </fill>
    </dxf>
    <dxf>
      <fill>
        <patternFill>
          <bgColor theme="6" tint="0.79998168889431442"/>
        </patternFill>
      </fill>
    </dxf>
    <dxf>
      <fill>
        <patternFill>
          <bgColor theme="3" tint="0.79998168889431442"/>
        </patternFill>
      </fill>
    </dxf>
    <dxf>
      <fill>
        <patternFill>
          <bgColor theme="0" tint="-4.9989318521683403E-2"/>
        </patternFill>
      </fill>
    </dxf>
    <dxf>
      <fill>
        <patternFill>
          <bgColor theme="8" tint="0.79998168889431442"/>
        </patternFill>
      </fill>
    </dxf>
    <dxf>
      <fill>
        <patternFill>
          <bgColor theme="7" tint="0.79998168889431442"/>
        </patternFill>
      </fill>
    </dxf>
    <dxf>
      <fill>
        <patternFill>
          <bgColor rgb="FF92D050"/>
        </patternFill>
      </fill>
    </dxf>
    <dxf>
      <fill>
        <patternFill>
          <bgColor rgb="FFF9C8AD"/>
        </patternFill>
      </fill>
    </dxf>
    <dxf>
      <fill>
        <patternFill>
          <bgColor theme="5" tint="0.59996337778862885"/>
        </patternFill>
      </fill>
    </dxf>
    <dxf>
      <fill>
        <patternFill>
          <bgColor theme="6" tint="0.79998168889431442"/>
        </patternFill>
      </fill>
    </dxf>
    <dxf>
      <fill>
        <patternFill>
          <bgColor theme="6" tint="0.79998168889431442"/>
        </patternFill>
      </fill>
    </dxf>
    <dxf>
      <fill>
        <patternFill>
          <bgColor theme="3" tint="0.79998168889431442"/>
        </patternFill>
      </fill>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theme="9" tint="0.39997558519241921"/>
        </left>
        <right style="thin">
          <color indexed="64"/>
        </right>
        <top style="thin">
          <color theme="9" tint="0.39997558519241921"/>
        </top>
        <bottom style="thin">
          <color theme="9" tint="0.39997558519241921"/>
        </bottom>
        <vertical/>
        <horizontal/>
      </border>
    </dxf>
    <dxf>
      <font>
        <b/>
        <i val="0"/>
        <strike val="0"/>
        <condense val="0"/>
        <extend val="0"/>
        <outline val="0"/>
        <shadow val="0"/>
        <u val="none"/>
        <vertAlign val="baseline"/>
        <sz val="11"/>
        <color theme="1"/>
        <name val="Calibri"/>
        <family val="2"/>
        <scheme val="minor"/>
      </font>
      <numFmt numFmtId="0" formatCode="General"/>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right style="thin">
          <color indexed="64"/>
        </right>
        <top/>
        <bottom/>
        <vertical/>
        <horizontal/>
      </border>
    </dxf>
    <dxf>
      <border outline="0">
        <top style="medium">
          <color indexed="64"/>
        </top>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scheme val="minor"/>
      </font>
      <numFmt numFmtId="0" formatCode="General"/>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right style="thin">
          <color indexed="64"/>
        </right>
        <top/>
        <bottom/>
        <vertical/>
        <horizontal/>
      </border>
    </dxf>
    <dxf>
      <border outline="0">
        <left style="medium">
          <color indexed="64"/>
        </left>
        <right style="medium">
          <color indexed="64"/>
        </right>
        <top style="medium">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00B050"/>
        </patternFill>
      </fill>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9C8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amuel Attwood" id="{BE86F8BF-C2DC-4EBD-B986-EB7DEC7A35BE}" userId="S::55136036@ad.mmu.ac.uk::b0fb8492-40a6-4f95-855e-ceb3fbec2bf8" providerId="AD"/>
  <person displayName="Ethan Turner" id="{6FAFF78D-5868-41EF-AD72-9630FDA2DA81}" userId="S::22487557@stu.mmu.ac.uk::a60cd669-0cd1-4a77-a239-f614c4ab4e9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A26C93-9EAB-47F1-9787-5BE792959289}" name="Table1" displayName="Table1" ref="A1:I39" totalsRowShown="0" headerRowDxfId="53" dataDxfId="51" headerRowBorderDxfId="52" tableBorderDxfId="50">
  <autoFilter ref="A1:I39" xr:uid="{01A26C93-9EAB-47F1-9787-5BE792959289}">
    <filterColumn colId="8">
      <filters>
        <filter val="No"/>
      </filters>
    </filterColumn>
  </autoFilter>
  <sortState xmlns:xlrd2="http://schemas.microsoft.com/office/spreadsheetml/2017/richdata2" ref="A2:H5">
    <sortCondition ref="A1:A5"/>
  </sortState>
  <tableColumns count="9">
    <tableColumn id="1" xr3:uid="{B69E588B-9501-4D6A-8DBD-0882D76B1FFF}" name="Test Case ID" dataDxfId="49"/>
    <tableColumn id="2" xr3:uid="{BFFDE9FC-D88C-44F9-934C-4F4976822522}" name="Description" dataDxfId="48"/>
    <tableColumn id="3" xr3:uid="{2FEFB87F-F464-4344-A077-E660FAF42CBE}" name="Pre-Conditions" dataDxfId="47"/>
    <tableColumn id="4" xr3:uid="{B0839DBE-F540-4AAE-957D-EAC05622977D}" name="Test Steps" dataDxfId="46"/>
    <tableColumn id="5" xr3:uid="{FF871860-46B7-4B4D-AA64-D504A003C11D}" name="Test Data" dataDxfId="45"/>
    <tableColumn id="6" xr3:uid="{A5CBE82A-5D52-4FDE-BDF1-F8D70F7237BE}" name="Expected Results" dataDxfId="44"/>
    <tableColumn id="7" xr3:uid="{53467F90-A96B-476B-93F3-4991ABB9986E}" name="Actual Result" dataDxfId="43"/>
    <tableColumn id="8" xr3:uid="{781642DE-BECB-433C-83A0-E755965C6EAA}" name="Status" dataDxfId="42"/>
    <tableColumn id="9" xr3:uid="{6137509A-442F-431F-A6DE-B76AFA714B55}" name="Reported?" dataDxfId="41">
      <calculatedColumnFormula>IF(Table1[[#This Row],[Status]] = "Passed","N/A","No")</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4B73EA-4269-48B3-B5F8-0A2C0A8D255F}" name="Table6" displayName="Table6" ref="A1:D7" totalsRowShown="0">
  <autoFilter ref="A1:D7" xr:uid="{9E4B73EA-4269-48B3-B5F8-0A2C0A8D255F}"/>
  <tableColumns count="4">
    <tableColumn id="1" xr3:uid="{0387758F-F5F4-49EE-BC07-1A1A27ACD9FF}" name="Test case ID"/>
    <tableColumn id="4" xr3:uid="{9B1BFA61-3D9D-4FFD-8DAC-57117ED14CD3}" name="Test data"/>
    <tableColumn id="2" xr3:uid="{2C18233D-792C-420D-AD33-65BA4EB01385}" name="Expected result"/>
    <tableColumn id="3" xr3:uid="{E0993927-7FBF-4DE8-ACC8-706394EE6A94}" name="Actual result"/>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0B01F4-BB3E-4996-8CD8-FC3257869A6B}" name="Table2" displayName="Table2" ref="A1:I60" totalsRowShown="0" headerRowDxfId="40" dataDxfId="38" headerRowBorderDxfId="39" tableBorderDxfId="37">
  <autoFilter ref="A1:I60" xr:uid="{A40B01F4-BB3E-4996-8CD8-FC3257869A6B}">
    <filterColumn colId="7">
      <filters>
        <filter val="Failed"/>
      </filters>
    </filterColumn>
  </autoFilter>
  <sortState xmlns:xlrd2="http://schemas.microsoft.com/office/spreadsheetml/2017/richdata2" ref="A2:I60">
    <sortCondition ref="A1:A60"/>
  </sortState>
  <tableColumns count="9">
    <tableColumn id="1" xr3:uid="{E1EB88C8-7171-4A86-A279-AA0645796719}" name="Test Case ID" dataDxfId="36"/>
    <tableColumn id="2" xr3:uid="{F017B847-4786-4ACD-AA7E-6BFCCC0CF99D}" name="Description" dataDxfId="35"/>
    <tableColumn id="3" xr3:uid="{905F0C93-CF03-4DDB-9B98-A7F67AA01363}" name="Pre-Conditions" dataDxfId="34"/>
    <tableColumn id="4" xr3:uid="{5AF4964D-F2EF-41E5-AB7F-167CD124FBD5}" name="Test Steps" dataDxfId="33"/>
    <tableColumn id="5" xr3:uid="{F1B47FF1-794C-4164-BFFF-73595F4DD278}" name="Test Data" dataDxfId="32"/>
    <tableColumn id="6" xr3:uid="{67AA1C66-5F77-4D5F-9685-1E3AF25E6D34}" name="Expected Results" dataDxfId="31"/>
    <tableColumn id="7" xr3:uid="{9FCA7FA3-F4DB-4660-A28E-485C1A7C305E}" name="Actual Result" dataDxfId="30"/>
    <tableColumn id="8" xr3:uid="{48206547-E282-471C-BCC4-32DC341BC312}" name="Status" dataDxfId="29">
      <calculatedColumnFormula>IF(Table2[[#This Row],[Expected Results]]=Table2[[#This Row],[Actual Result]],"Passed","Failed")</calculatedColumnFormula>
    </tableColumn>
    <tableColumn id="9" xr3:uid="{43CD7FBA-81A7-41F5-9EE3-E310B9EEC12B}" name="Reported?" dataDxfId="28">
      <calculatedColumnFormula>IF(Table2[[#This Row],[Status]] = "Passed", "N/A", "No")</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2F42191-3C83-4423-9B44-B992960F7EA8}" name="Table5" displayName="Table5" ref="A1:D3" totalsRowShown="0">
  <autoFilter ref="A1:D3" xr:uid="{32F42191-3C83-4423-9B44-B992960F7EA8}"/>
  <tableColumns count="4">
    <tableColumn id="1" xr3:uid="{F8269551-EA7D-4DE8-97FF-154D63B78576}" name="Test Case"/>
    <tableColumn id="2" xr3:uid="{950C265C-7EA4-4D99-AB7E-0B92B3DAE411}" name="Order Time"/>
    <tableColumn id="3" xr3:uid="{FB312240-D015-41B1-B87A-6849FBF7016C}" name="Delivery Minutes"/>
    <tableColumn id="4" xr3:uid="{89E0E2F5-DC66-43E6-882A-FD4830C79470}" name="Expected"/>
  </tableColumns>
  <tableStyleInfo name="TableStyleLight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664BFB-7025-4FCE-9905-50C08DEBE22D}" name="Table4" displayName="Table4" ref="A1:D4" totalsRowShown="0">
  <autoFilter ref="A1:D4" xr:uid="{7E664BFB-7025-4FCE-9905-50C08DEBE22D}"/>
  <tableColumns count="4">
    <tableColumn id="1" xr3:uid="{D3502CC8-EE69-4326-99C9-AF2B09B7C6EC}" name="Test case" dataDxfId="27"/>
    <tableColumn id="2" xr3:uid="{703891BE-73DE-4112-A0CE-7732C1442C5F}" name="Treat Number"/>
    <tableColumn id="3" xr3:uid="{59DFF09B-4AC1-4AEF-9F00-2A60FC43FBB1}" name="Product Number"/>
    <tableColumn id="4" xr3:uid="{07766C85-1E52-451E-937F-0EF8CE673331}" name="Expected"/>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0F3620-858F-49A7-853D-1B8F21074FD2}" name="Table3" displayName="Table3" ref="A1:B8" totalsRowShown="0">
  <autoFilter ref="A1:B8" xr:uid="{450F3620-858F-49A7-853D-1B8F21074FD2}"/>
  <tableColumns count="2">
    <tableColumn id="1" xr3:uid="{2A569BD9-5AE7-4E6C-9910-E106246063EF}" name="Variable Name"/>
    <tableColumn id="2" xr3:uid="{33BD4F91-F8A8-4D5A-A820-7F5AB4DE5DF9}" name="Data"/>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5" dT="2025-12-20T14:10:28.56" personId="{6FAFF78D-5868-41EF-AD72-9630FDA2DA81}" id="{33B0A3ED-5568-448C-ACFA-A15BC45C06BD}" done="1">
    <text>Do the Test steps and test data make sense for this test case and future ones? Should I be saying “Select cone type” in test steps and clarifying in test data?</text>
  </threadedComment>
  <threadedComment ref="E5" dT="2025-12-22T09:00:55.65" personId="{BE86F8BF-C2DC-4EBD-B986-EB7DEC7A35BE}" id="{59A88BF6-65E8-4AAA-8E14-898382DABE80}" parentId="{33B0A3ED-5568-448C-ACFA-A15BC45C06BD}">
    <text>That's the right idea, yes. Saying something like Select cone type (see Test Data) would help to avoid any doubt.</text>
  </threadedComment>
  <threadedComment ref="G15" dT="2025-12-20T14:09:34.06" personId="{6FAFF78D-5868-41EF-AD72-9630FDA2DA81}" id="{3BDE0D4E-D348-42E9-BC08-B6AE00623ADD}" done="1">
    <text>Should this be the same as the expected results, or can I say verbatim what the pop-up displayed? Should I change the expected results to be what the pop up displayed, or should I be acting as if I don’t know the actual result when I’m writing the expected?</text>
  </threadedComment>
  <threadedComment ref="G15" dT="2025-12-22T09:05:03.94" personId="{BE86F8BF-C2DC-4EBD-B986-EB7DEC7A35BE}" id="{E9D72D06-8753-47E4-AA88-1465BBC7A2FA}" parentId="{3BDE0D4E-D348-42E9-BC08-B6AE00623ADD}">
    <text>Yes - this is the right approach. You might like to add to your actual result a bit: "Pop up with confirmation: 'Order updated...'" etc.</text>
  </threadedComment>
  <threadedComment ref="G17" dT="2025-12-20T14:21:24.99" personId="{6FAFF78D-5868-41EF-AD72-9630FDA2DA81}" id="{F2594092-8D38-49EE-BF27-3B17EE5B561A}" done="1">
    <text>Is this a pass? It satisfies the requirement of being informative, but I wouldn’t call it “clear, legible and otherwise understandable” for REQ-UI-003 from a user perspective</text>
  </threadedComment>
  <threadedComment ref="G17" dT="2025-12-22T09:06:58.87" personId="{BE86F8BF-C2DC-4EBD-B986-EB7DEC7A35BE}" id="{72D565EB-9357-4CB9-9E84-56D5553F0C69}" parentId="{F2594092-8D38-49EE-BF27-3B17EE5B561A}">
    <text>I agree. Think about what requirement you are testing here... If UI-003 is being tested for here then you might want to think about your expected result.</text>
  </threadedComment>
  <threadedComment ref="A23" dT="2025-12-20T15:19:36.32" personId="{6FAFF78D-5868-41EF-AD72-9630FDA2DA81}" id="{3A3B5F26-ABC9-4CCA-BF96-3C019F4096F9}" done="1">
    <text>Should I be counting clicking the cone and flavour for this requirement?</text>
  </threadedComment>
  <threadedComment ref="A23" dT="2025-12-22T09:09:23.14" personId="{BE86F8BF-C2DC-4EBD-B986-EB7DEC7A35BE}" id="{7C3881BF-AA71-4E8D-9B3C-E115DFD7B0E2}" parentId="{3A3B5F26-ABC9-4CCA-BF96-3C019F4096F9}">
    <text>This is open to interpretation (the kind of thing you as a tester could highlight as the spec if being written in practice). Personally, I would count those clicks as interactions.</text>
  </threadedComment>
  <threadedComment ref="A26" dT="2025-12-20T15:31:59.36" personId="{6FAFF78D-5868-41EF-AD72-9630FDA2DA81}" id="{EEB1B516-6186-4348-A24B-C495D6524A1B}" done="1">
    <text>Am I right in assuming that all PER requirements are blocked, as they require average processing times/uptimes?</text>
  </threadedComment>
  <threadedComment ref="A26" dT="2025-12-22T09:12:10.86" personId="{BE86F8BF-C2DC-4EBD-B986-EB7DEC7A35BE}" id="{D8A2EFA0-2175-42F4-A2A9-935EC7D1F842}" parentId="{EEB1B516-6186-4348-A24B-C495D6524A1B}">
    <text>There are a few different ways you could attempt to deal with the PER reqs. I like this approach.</text>
  </threadedComment>
  <threadedComment ref="A29" dT="2025-12-20T15:37:05.82" personId="{6FAFF78D-5868-41EF-AD72-9630FDA2DA81}" id="{1C7773FC-AB68-4231-9EFB-3A6DED1577DC}" done="1">
    <text>Can I use Postman for these 3 test cases, or should I be marking as blocked? The system isn’t under normal conditions if I am the only one sending requests</text>
  </threadedComment>
  <threadedComment ref="A29" dT="2025-12-22T09:14:06.41" personId="{BE86F8BF-C2DC-4EBD-B986-EB7DEC7A35BE}" id="{45637324-B008-417A-B140-8AE1C6DD61BE}" parentId="{1C7773FC-AB68-4231-9EFB-3A6DED1577DC}">
    <text>There are a few different ways you could attempt to deal with the PER reqs. I like this approach (marking as blocked).</text>
  </threadedComment>
  <threadedComment ref="A32" dT="2025-12-20T15:47:18.25" personId="{6FAFF78D-5868-41EF-AD72-9630FDA2DA81}" id="{FFC7BBEF-97E2-4F60-85AF-93A9DC3D6901}" done="1">
    <text>Again, can I test this? The system isn’t running at normal conditions</text>
  </threadedComment>
  <threadedComment ref="A32" dT="2025-12-22T09:14:43.82" personId="{BE86F8BF-C2DC-4EBD-B986-EB7DEC7A35BE}" id="{3A9218BE-3B94-4B78-A562-1AD0EB345726}" parentId="{FFC7BBEF-97E2-4F60-85AF-93A9DC3D6901}">
    <text>There are a few different ways you could attempt to deal with the PER reqs. I like this approach (marking as blocked).</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84D4-C6C6-4D1D-921F-42502C4ADECB}">
  <dimension ref="A1:I39"/>
  <sheetViews>
    <sheetView workbookViewId="0">
      <selection activeCell="I40" sqref="I40"/>
    </sheetView>
  </sheetViews>
  <sheetFormatPr defaultRowHeight="14.4" x14ac:dyDescent="0.3"/>
  <cols>
    <col min="1" max="1" width="17.77734375" bestFit="1" customWidth="1"/>
    <col min="2" max="2" width="24.6640625" customWidth="1"/>
    <col min="3" max="3" width="17.33203125" customWidth="1"/>
    <col min="4" max="4" width="41.33203125" bestFit="1" customWidth="1"/>
    <col min="5" max="5" width="48.6640625" bestFit="1" customWidth="1"/>
    <col min="6" max="6" width="16.88671875" customWidth="1"/>
    <col min="7" max="7" width="14.109375" customWidth="1"/>
    <col min="8" max="8" width="16" customWidth="1"/>
    <col min="9" max="9" width="10.44140625" customWidth="1"/>
  </cols>
  <sheetData>
    <row r="1" spans="1:9" s="1" customFormat="1" ht="28.8" x14ac:dyDescent="0.3">
      <c r="A1" s="4" t="s">
        <v>0</v>
      </c>
      <c r="B1" s="5" t="s">
        <v>1</v>
      </c>
      <c r="C1" s="5" t="s">
        <v>2</v>
      </c>
      <c r="D1" s="5" t="s">
        <v>3</v>
      </c>
      <c r="E1" s="5" t="s">
        <v>4</v>
      </c>
      <c r="F1" s="5" t="s">
        <v>5</v>
      </c>
      <c r="G1" s="5" t="s">
        <v>6</v>
      </c>
      <c r="H1" s="6" t="s">
        <v>7</v>
      </c>
      <c r="I1" s="5" t="s">
        <v>259</v>
      </c>
    </row>
    <row r="2" spans="1:9" ht="100.95" hidden="1" x14ac:dyDescent="0.3">
      <c r="A2" s="2" t="s">
        <v>8</v>
      </c>
      <c r="B2" s="3" t="s">
        <v>10</v>
      </c>
      <c r="C2" s="3" t="s">
        <v>13</v>
      </c>
      <c r="D2" s="3" t="s">
        <v>190</v>
      </c>
      <c r="E2" s="3" t="s">
        <v>191</v>
      </c>
      <c r="F2" s="3" t="s">
        <v>44</v>
      </c>
      <c r="G2" s="3" t="s">
        <v>267</v>
      </c>
      <c r="H2" s="3" t="s">
        <v>26</v>
      </c>
      <c r="I2" s="3" t="str">
        <f>IF(Table1[[#This Row],[Status]] = "Passed","N/A","No")</f>
        <v>N/A</v>
      </c>
    </row>
    <row r="3" spans="1:9" ht="100.8" hidden="1" x14ac:dyDescent="0.3">
      <c r="A3" s="2" t="s">
        <v>9</v>
      </c>
      <c r="B3" s="3" t="s">
        <v>11</v>
      </c>
      <c r="C3" s="3" t="s">
        <v>13</v>
      </c>
      <c r="D3" s="3" t="s">
        <v>23</v>
      </c>
      <c r="E3" s="3" t="s">
        <v>191</v>
      </c>
      <c r="F3" s="3" t="s">
        <v>45</v>
      </c>
      <c r="G3" s="3" t="s">
        <v>435</v>
      </c>
      <c r="H3" s="3" t="s">
        <v>283</v>
      </c>
      <c r="I3" s="3" t="s">
        <v>260</v>
      </c>
    </row>
    <row r="4" spans="1:9" ht="100.95" hidden="1" x14ac:dyDescent="0.3">
      <c r="A4" s="2" t="s">
        <v>12</v>
      </c>
      <c r="B4" s="3" t="s">
        <v>25</v>
      </c>
      <c r="C4" s="3" t="s">
        <v>13</v>
      </c>
      <c r="D4" s="3" t="s">
        <v>268</v>
      </c>
      <c r="E4" s="3" t="s">
        <v>191</v>
      </c>
      <c r="F4" s="3" t="s">
        <v>269</v>
      </c>
      <c r="G4" s="3" t="s">
        <v>269</v>
      </c>
      <c r="H4" s="3" t="s">
        <v>26</v>
      </c>
      <c r="I4" s="3" t="str">
        <f>IF(Table1[[#This Row],[Status]] = "Passed","N/A","No")</f>
        <v>N/A</v>
      </c>
    </row>
    <row r="5" spans="1:9" ht="100.8" hidden="1" x14ac:dyDescent="0.3">
      <c r="A5" s="2" t="s">
        <v>20</v>
      </c>
      <c r="B5" s="3" t="s">
        <v>21</v>
      </c>
      <c r="C5" s="3" t="s">
        <v>13</v>
      </c>
      <c r="D5" s="3" t="s">
        <v>409</v>
      </c>
      <c r="E5" s="3" t="s">
        <v>270</v>
      </c>
      <c r="F5" s="3" t="s">
        <v>271</v>
      </c>
      <c r="G5" s="3" t="s">
        <v>271</v>
      </c>
      <c r="H5" s="3" t="s">
        <v>26</v>
      </c>
      <c r="I5" s="3" t="str">
        <f>IF(Table1[[#This Row],[Status]] = "Passed","N/A","No")</f>
        <v>N/A</v>
      </c>
    </row>
    <row r="6" spans="1:9" ht="115.2" hidden="1" x14ac:dyDescent="0.3">
      <c r="A6" s="2" t="s">
        <v>22</v>
      </c>
      <c r="B6" s="3" t="s">
        <v>272</v>
      </c>
      <c r="C6" s="3" t="s">
        <v>13</v>
      </c>
      <c r="D6" s="3" t="s">
        <v>410</v>
      </c>
      <c r="E6" s="3" t="s">
        <v>273</v>
      </c>
      <c r="F6" s="3" t="s">
        <v>274</v>
      </c>
      <c r="G6" s="3" t="s">
        <v>274</v>
      </c>
      <c r="H6" s="3" t="s">
        <v>26</v>
      </c>
      <c r="I6" s="3" t="str">
        <f>IF(Table1[[#This Row],[Status]] = "Passed","N/A","No")</f>
        <v>N/A</v>
      </c>
    </row>
    <row r="7" spans="1:9" ht="57.6" hidden="1" x14ac:dyDescent="0.3">
      <c r="A7" s="2" t="s">
        <v>261</v>
      </c>
      <c r="B7" s="3" t="s">
        <v>262</v>
      </c>
      <c r="C7" s="3" t="s">
        <v>263</v>
      </c>
      <c r="D7" s="3" t="s">
        <v>264</v>
      </c>
      <c r="E7" s="3" t="s">
        <v>191</v>
      </c>
      <c r="F7" s="3" t="s">
        <v>265</v>
      </c>
      <c r="G7" s="3" t="s">
        <v>266</v>
      </c>
      <c r="H7" s="3" t="s">
        <v>26</v>
      </c>
      <c r="I7" s="3" t="str">
        <f>IF(Table1[[#This Row],[Status]] = "Passed","N/A","No")</f>
        <v>N/A</v>
      </c>
    </row>
    <row r="8" spans="1:9" ht="187.2" hidden="1" x14ac:dyDescent="0.3">
      <c r="A8" s="2" t="s">
        <v>275</v>
      </c>
      <c r="B8" s="3" t="s">
        <v>276</v>
      </c>
      <c r="C8" s="3" t="s">
        <v>263</v>
      </c>
      <c r="D8" s="3" t="s">
        <v>411</v>
      </c>
      <c r="E8" s="3" t="s">
        <v>270</v>
      </c>
      <c r="F8" s="3" t="s">
        <v>277</v>
      </c>
      <c r="G8" s="3" t="s">
        <v>277</v>
      </c>
      <c r="H8" s="3" t="s">
        <v>26</v>
      </c>
      <c r="I8" s="3" t="str">
        <f>IF(Table1[[#This Row],[Status]] = "Passed","N/A","No")</f>
        <v>N/A</v>
      </c>
    </row>
    <row r="9" spans="1:9" ht="57.6" hidden="1" x14ac:dyDescent="0.3">
      <c r="A9" s="2" t="s">
        <v>278</v>
      </c>
      <c r="B9" s="3" t="s">
        <v>279</v>
      </c>
      <c r="C9" s="3" t="s">
        <v>263</v>
      </c>
      <c r="D9" s="3" t="s">
        <v>280</v>
      </c>
      <c r="E9" s="3" t="s">
        <v>191</v>
      </c>
      <c r="F9" s="3" t="s">
        <v>281</v>
      </c>
      <c r="G9" s="3" t="s">
        <v>282</v>
      </c>
      <c r="H9" s="3" t="s">
        <v>283</v>
      </c>
      <c r="I9" s="3" t="s">
        <v>260</v>
      </c>
    </row>
    <row r="10" spans="1:9" ht="43.2" hidden="1" x14ac:dyDescent="0.3">
      <c r="A10" s="2" t="s">
        <v>284</v>
      </c>
      <c r="B10" s="3" t="s">
        <v>287</v>
      </c>
      <c r="C10" s="3" t="s">
        <v>263</v>
      </c>
      <c r="D10" s="3" t="s">
        <v>289</v>
      </c>
      <c r="E10" s="3" t="s">
        <v>191</v>
      </c>
      <c r="F10" s="3" t="s">
        <v>281</v>
      </c>
      <c r="G10" s="3" t="s">
        <v>281</v>
      </c>
      <c r="H10" s="3" t="s">
        <v>26</v>
      </c>
      <c r="I10" s="3" t="str">
        <f>IF(Table1[[#This Row],[Status]] = "Passed","N/A","No")</f>
        <v>N/A</v>
      </c>
    </row>
    <row r="11" spans="1:9" ht="100.8" hidden="1" x14ac:dyDescent="0.3">
      <c r="A11" s="2" t="s">
        <v>285</v>
      </c>
      <c r="B11" s="3" t="s">
        <v>288</v>
      </c>
      <c r="C11" s="3" t="s">
        <v>263</v>
      </c>
      <c r="D11" s="3" t="s">
        <v>412</v>
      </c>
      <c r="E11" s="3" t="s">
        <v>270</v>
      </c>
      <c r="F11" s="3" t="s">
        <v>281</v>
      </c>
      <c r="G11" s="3" t="s">
        <v>281</v>
      </c>
      <c r="H11" s="3" t="s">
        <v>26</v>
      </c>
      <c r="I11" s="3" t="str">
        <f>IF(Table1[[#This Row],[Status]] = "Passed","N/A","No")</f>
        <v>N/A</v>
      </c>
    </row>
    <row r="12" spans="1:9" ht="129.6" hidden="1" x14ac:dyDescent="0.3">
      <c r="A12" s="2" t="s">
        <v>286</v>
      </c>
      <c r="B12" s="3" t="s">
        <v>290</v>
      </c>
      <c r="C12" s="3" t="s">
        <v>263</v>
      </c>
      <c r="D12" s="3" t="s">
        <v>413</v>
      </c>
      <c r="E12" s="3" t="s">
        <v>270</v>
      </c>
      <c r="F12" s="3" t="s">
        <v>281</v>
      </c>
      <c r="G12" s="3" t="s">
        <v>281</v>
      </c>
      <c r="H12" s="3" t="s">
        <v>26</v>
      </c>
      <c r="I12" s="3" t="str">
        <f>IF(Table1[[#This Row],[Status]] = "Passed","N/A","No")</f>
        <v>N/A</v>
      </c>
    </row>
    <row r="13" spans="1:9" ht="72" hidden="1" x14ac:dyDescent="0.3">
      <c r="A13" s="2" t="s">
        <v>403</v>
      </c>
      <c r="B13" s="3" t="s">
        <v>404</v>
      </c>
      <c r="C13" s="3" t="s">
        <v>421</v>
      </c>
      <c r="D13" s="3" t="s">
        <v>405</v>
      </c>
      <c r="E13" s="3" t="s">
        <v>406</v>
      </c>
      <c r="F13" s="3" t="s">
        <v>407</v>
      </c>
      <c r="G13" s="3" t="s">
        <v>408</v>
      </c>
      <c r="H13" s="3" t="s">
        <v>283</v>
      </c>
      <c r="I13" s="3" t="s">
        <v>260</v>
      </c>
    </row>
    <row r="14" spans="1:9" ht="187.2" hidden="1" x14ac:dyDescent="0.3">
      <c r="A14" s="2" t="s">
        <v>420</v>
      </c>
      <c r="B14" s="3" t="s">
        <v>425</v>
      </c>
      <c r="C14" s="3" t="s">
        <v>263</v>
      </c>
      <c r="D14" s="3" t="s">
        <v>416</v>
      </c>
      <c r="E14" s="3" t="s">
        <v>417</v>
      </c>
      <c r="F14" s="3" t="s">
        <v>422</v>
      </c>
      <c r="G14" s="3" t="s">
        <v>424</v>
      </c>
      <c r="H14" s="3" t="s">
        <v>283</v>
      </c>
      <c r="I14" s="13" t="s">
        <v>260</v>
      </c>
    </row>
    <row r="15" spans="1:9" ht="86.4" hidden="1" x14ac:dyDescent="0.3">
      <c r="A15" s="2" t="s">
        <v>291</v>
      </c>
      <c r="B15" s="3" t="s">
        <v>292</v>
      </c>
      <c r="C15" s="3" t="s">
        <v>263</v>
      </c>
      <c r="D15" s="3" t="s">
        <v>414</v>
      </c>
      <c r="E15" s="3" t="s">
        <v>270</v>
      </c>
      <c r="F15" s="3" t="s">
        <v>293</v>
      </c>
      <c r="G15" s="3" t="s">
        <v>418</v>
      </c>
      <c r="H15" s="3" t="s">
        <v>26</v>
      </c>
      <c r="I15" s="3" t="str">
        <f>IF(Table1[[#This Row],[Status]] = "Passed","N/A","No")</f>
        <v>N/A</v>
      </c>
    </row>
    <row r="16" spans="1:9" ht="115.2" hidden="1" x14ac:dyDescent="0.3">
      <c r="A16" s="2" t="s">
        <v>294</v>
      </c>
      <c r="B16" s="3" t="s">
        <v>295</v>
      </c>
      <c r="C16" s="3" t="s">
        <v>263</v>
      </c>
      <c r="D16" s="3" t="s">
        <v>415</v>
      </c>
      <c r="E16" s="3" t="s">
        <v>270</v>
      </c>
      <c r="F16" s="3" t="s">
        <v>426</v>
      </c>
      <c r="G16" s="3" t="s">
        <v>419</v>
      </c>
      <c r="H16" s="3" t="s">
        <v>26</v>
      </c>
      <c r="I16" s="3" t="str">
        <f>IF(Table1[[#This Row],[Status]] = "Passed","N/A","No")</f>
        <v>N/A</v>
      </c>
    </row>
    <row r="17" spans="1:9" ht="187.2" hidden="1" x14ac:dyDescent="0.3">
      <c r="A17" s="2" t="s">
        <v>296</v>
      </c>
      <c r="B17" s="3" t="s">
        <v>297</v>
      </c>
      <c r="C17" s="3" t="s">
        <v>263</v>
      </c>
      <c r="D17" s="3" t="s">
        <v>416</v>
      </c>
      <c r="E17" s="3" t="s">
        <v>423</v>
      </c>
      <c r="F17" s="3" t="s">
        <v>422</v>
      </c>
      <c r="G17" s="3" t="s">
        <v>298</v>
      </c>
      <c r="H17" s="3" t="s">
        <v>26</v>
      </c>
      <c r="I17" s="3" t="str">
        <f>IF(Table1[[#This Row],[Status]] = "Passed","N/A","No")</f>
        <v>N/A</v>
      </c>
    </row>
    <row r="18" spans="1:9" ht="57.6" hidden="1" x14ac:dyDescent="0.3">
      <c r="A18" s="2" t="s">
        <v>299</v>
      </c>
      <c r="B18" s="3" t="s">
        <v>300</v>
      </c>
      <c r="C18" s="3" t="s">
        <v>263</v>
      </c>
      <c r="D18" s="3" t="s">
        <v>301</v>
      </c>
      <c r="E18" s="3" t="s">
        <v>303</v>
      </c>
      <c r="F18" s="3" t="s">
        <v>304</v>
      </c>
      <c r="G18" s="3" t="s">
        <v>315</v>
      </c>
      <c r="H18" s="3" t="s">
        <v>26</v>
      </c>
      <c r="I18" s="3" t="str">
        <f>IF(Table1[[#This Row],[Status]] = "Passed","N/A","No")</f>
        <v>N/A</v>
      </c>
    </row>
    <row r="19" spans="1:9" ht="72" hidden="1" x14ac:dyDescent="0.3">
      <c r="A19" s="2" t="s">
        <v>306</v>
      </c>
      <c r="B19" s="3" t="s">
        <v>305</v>
      </c>
      <c r="C19" s="3" t="s">
        <v>263</v>
      </c>
      <c r="D19" s="3" t="s">
        <v>301</v>
      </c>
      <c r="E19" s="3" t="s">
        <v>307</v>
      </c>
      <c r="F19" s="3" t="s">
        <v>315</v>
      </c>
      <c r="G19" s="3" t="s">
        <v>315</v>
      </c>
      <c r="H19" s="3" t="s">
        <v>26</v>
      </c>
      <c r="I19" s="3" t="str">
        <f>IF(Table1[[#This Row],[Status]] = "Passed","N/A","No")</f>
        <v>N/A</v>
      </c>
    </row>
    <row r="20" spans="1:9" ht="57.6" hidden="1" x14ac:dyDescent="0.3">
      <c r="A20" s="2" t="s">
        <v>314</v>
      </c>
      <c r="B20" s="3" t="s">
        <v>316</v>
      </c>
      <c r="C20" s="3" t="s">
        <v>263</v>
      </c>
      <c r="D20" s="3" t="s">
        <v>301</v>
      </c>
      <c r="E20" s="3" t="s">
        <v>317</v>
      </c>
      <c r="F20" s="3" t="s">
        <v>315</v>
      </c>
      <c r="G20" s="3" t="s">
        <v>315</v>
      </c>
      <c r="H20" s="3" t="s">
        <v>26</v>
      </c>
      <c r="I20" s="3" t="str">
        <f>IF(Table1[[#This Row],[Status]] = "Passed","N/A","No")</f>
        <v>N/A</v>
      </c>
    </row>
    <row r="21" spans="1:9" ht="72" hidden="1" x14ac:dyDescent="0.3">
      <c r="A21" s="2" t="s">
        <v>320</v>
      </c>
      <c r="B21" s="3" t="s">
        <v>321</v>
      </c>
      <c r="C21" s="3" t="s">
        <v>263</v>
      </c>
      <c r="D21" s="3" t="s">
        <v>322</v>
      </c>
      <c r="E21" s="3" t="s">
        <v>315</v>
      </c>
      <c r="F21" s="3" t="s">
        <v>315</v>
      </c>
      <c r="G21" s="3" t="s">
        <v>315</v>
      </c>
      <c r="H21" s="3" t="s">
        <v>26</v>
      </c>
      <c r="I21" s="3" t="str">
        <f>IF(Table1[[#This Row],[Status]] = "Passed","N/A","No")</f>
        <v>N/A</v>
      </c>
    </row>
    <row r="22" spans="1:9" ht="72" hidden="1" x14ac:dyDescent="0.3">
      <c r="A22" s="2" t="s">
        <v>326</v>
      </c>
      <c r="B22" s="3" t="s">
        <v>327</v>
      </c>
      <c r="C22" s="3" t="s">
        <v>263</v>
      </c>
      <c r="D22" s="3" t="s">
        <v>328</v>
      </c>
      <c r="E22" s="3" t="s">
        <v>315</v>
      </c>
      <c r="F22" s="3" t="s">
        <v>315</v>
      </c>
      <c r="G22" s="3" t="s">
        <v>315</v>
      </c>
      <c r="H22" s="3" t="s">
        <v>283</v>
      </c>
      <c r="I22" s="3" t="s">
        <v>260</v>
      </c>
    </row>
    <row r="23" spans="1:9" ht="129.6" hidden="1" x14ac:dyDescent="0.3">
      <c r="A23" s="2" t="s">
        <v>332</v>
      </c>
      <c r="B23" s="3" t="s">
        <v>333</v>
      </c>
      <c r="C23" s="3" t="s">
        <v>263</v>
      </c>
      <c r="D23" s="3" t="s">
        <v>334</v>
      </c>
      <c r="E23" s="3" t="s">
        <v>270</v>
      </c>
      <c r="F23" s="3" t="s">
        <v>335</v>
      </c>
      <c r="G23" s="3" t="s">
        <v>336</v>
      </c>
      <c r="H23" s="3" t="s">
        <v>283</v>
      </c>
      <c r="I23" s="3" t="s">
        <v>260</v>
      </c>
    </row>
    <row r="24" spans="1:9" ht="57.6" hidden="1" x14ac:dyDescent="0.3">
      <c r="A24" s="2" t="s">
        <v>337</v>
      </c>
      <c r="B24" s="3" t="s">
        <v>344</v>
      </c>
      <c r="C24" s="3" t="s">
        <v>342</v>
      </c>
      <c r="D24" s="3" t="s">
        <v>345</v>
      </c>
      <c r="E24" s="3" t="s">
        <v>338</v>
      </c>
      <c r="F24" s="3" t="s">
        <v>339</v>
      </c>
      <c r="G24" s="3"/>
      <c r="H24" s="3" t="s">
        <v>340</v>
      </c>
      <c r="I24" s="3" t="s">
        <v>191</v>
      </c>
    </row>
    <row r="25" spans="1:9" ht="57.6" hidden="1" x14ac:dyDescent="0.3">
      <c r="A25" s="2" t="s">
        <v>341</v>
      </c>
      <c r="B25" s="3" t="s">
        <v>343</v>
      </c>
      <c r="C25" s="3" t="s">
        <v>342</v>
      </c>
      <c r="D25" s="3" t="s">
        <v>346</v>
      </c>
      <c r="E25" s="3" t="s">
        <v>338</v>
      </c>
      <c r="F25" s="3" t="s">
        <v>347</v>
      </c>
      <c r="G25" s="3"/>
      <c r="H25" s="3" t="s">
        <v>340</v>
      </c>
      <c r="I25" s="3" t="s">
        <v>191</v>
      </c>
    </row>
    <row r="26" spans="1:9" ht="115.2" hidden="1" x14ac:dyDescent="0.3">
      <c r="A26" s="2" t="s">
        <v>348</v>
      </c>
      <c r="B26" s="3" t="s">
        <v>350</v>
      </c>
      <c r="C26" s="3" t="s">
        <v>349</v>
      </c>
      <c r="D26" s="3" t="s">
        <v>351</v>
      </c>
      <c r="E26" s="3" t="s">
        <v>270</v>
      </c>
      <c r="F26" s="3" t="s">
        <v>355</v>
      </c>
      <c r="G26" s="3"/>
      <c r="H26" s="3" t="s">
        <v>340</v>
      </c>
      <c r="I26" s="3" t="s">
        <v>191</v>
      </c>
    </row>
    <row r="27" spans="1:9" ht="129.6" x14ac:dyDescent="0.3">
      <c r="A27" s="2" t="s">
        <v>352</v>
      </c>
      <c r="B27" s="3" t="s">
        <v>427</v>
      </c>
      <c r="C27" s="3" t="s">
        <v>349</v>
      </c>
      <c r="D27" s="3" t="s">
        <v>428</v>
      </c>
      <c r="E27" s="3" t="s">
        <v>429</v>
      </c>
      <c r="F27" s="3" t="s">
        <v>355</v>
      </c>
      <c r="G27" s="3"/>
      <c r="H27" s="3" t="s">
        <v>340</v>
      </c>
      <c r="I27" s="13" t="s">
        <v>191</v>
      </c>
    </row>
    <row r="28" spans="1:9" ht="144" hidden="1" x14ac:dyDescent="0.3">
      <c r="A28" s="2" t="s">
        <v>352</v>
      </c>
      <c r="B28" s="3" t="s">
        <v>353</v>
      </c>
      <c r="C28" s="3" t="s">
        <v>349</v>
      </c>
      <c r="D28" s="3" t="s">
        <v>354</v>
      </c>
      <c r="E28" s="3" t="s">
        <v>270</v>
      </c>
      <c r="F28" s="3" t="s">
        <v>355</v>
      </c>
      <c r="G28" s="3"/>
      <c r="H28" s="3" t="s">
        <v>340</v>
      </c>
      <c r="I28" s="3" t="s">
        <v>191</v>
      </c>
    </row>
    <row r="29" spans="1:9" ht="43.2" hidden="1" x14ac:dyDescent="0.3">
      <c r="A29" s="2" t="s">
        <v>356</v>
      </c>
      <c r="B29" s="3" t="s">
        <v>357</v>
      </c>
      <c r="C29" s="3" t="s">
        <v>263</v>
      </c>
      <c r="D29" s="3" t="s">
        <v>301</v>
      </c>
      <c r="E29" s="3" t="s">
        <v>303</v>
      </c>
      <c r="F29" s="3" t="s">
        <v>358</v>
      </c>
      <c r="G29" s="3"/>
      <c r="H29" s="3" t="s">
        <v>340</v>
      </c>
      <c r="I29" s="3" t="s">
        <v>191</v>
      </c>
    </row>
    <row r="30" spans="1:9" ht="57.6" hidden="1" x14ac:dyDescent="0.3">
      <c r="A30" s="2" t="s">
        <v>359</v>
      </c>
      <c r="B30" s="3" t="s">
        <v>361</v>
      </c>
      <c r="C30" s="3" t="s">
        <v>263</v>
      </c>
      <c r="D30" s="3" t="s">
        <v>301</v>
      </c>
      <c r="E30" s="3" t="s">
        <v>307</v>
      </c>
      <c r="F30" s="3" t="s">
        <v>358</v>
      </c>
      <c r="G30" s="3"/>
      <c r="H30" s="3" t="s">
        <v>340</v>
      </c>
      <c r="I30" s="3" t="s">
        <v>191</v>
      </c>
    </row>
    <row r="31" spans="1:9" ht="43.2" hidden="1" x14ac:dyDescent="0.3">
      <c r="A31" s="2" t="s">
        <v>360</v>
      </c>
      <c r="B31" s="3" t="s">
        <v>362</v>
      </c>
      <c r="C31" s="3" t="s">
        <v>263</v>
      </c>
      <c r="D31" s="3" t="s">
        <v>301</v>
      </c>
      <c r="E31" s="3" t="s">
        <v>317</v>
      </c>
      <c r="F31" s="3" t="s">
        <v>358</v>
      </c>
      <c r="G31" s="3"/>
      <c r="H31" s="3" t="s">
        <v>340</v>
      </c>
      <c r="I31" s="3" t="s">
        <v>191</v>
      </c>
    </row>
    <row r="32" spans="1:9" ht="86.4" hidden="1" x14ac:dyDescent="0.3">
      <c r="A32" s="2" t="s">
        <v>363</v>
      </c>
      <c r="B32" s="3" t="s">
        <v>364</v>
      </c>
      <c r="C32" s="3" t="s">
        <v>263</v>
      </c>
      <c r="D32" s="3" t="s">
        <v>322</v>
      </c>
      <c r="E32" s="3" t="s">
        <v>315</v>
      </c>
      <c r="F32" s="3" t="s">
        <v>367</v>
      </c>
      <c r="G32" s="3"/>
      <c r="H32" s="3" t="s">
        <v>340</v>
      </c>
      <c r="I32" s="3" t="s">
        <v>191</v>
      </c>
    </row>
    <row r="33" spans="1:9" ht="72" hidden="1" x14ac:dyDescent="0.3">
      <c r="A33" s="2" t="s">
        <v>368</v>
      </c>
      <c r="B33" s="3" t="s">
        <v>369</v>
      </c>
      <c r="C33" s="3" t="s">
        <v>370</v>
      </c>
      <c r="D33" s="3" t="s">
        <v>371</v>
      </c>
      <c r="E33" s="3" t="s">
        <v>191</v>
      </c>
      <c r="F33" s="3" t="s">
        <v>372</v>
      </c>
      <c r="G33" s="3"/>
      <c r="H33" s="3" t="s">
        <v>340</v>
      </c>
      <c r="I33" s="3" t="s">
        <v>191</v>
      </c>
    </row>
    <row r="34" spans="1:9" ht="43.2" hidden="1" x14ac:dyDescent="0.3">
      <c r="A34" s="2" t="s">
        <v>373</v>
      </c>
      <c r="B34" s="3" t="s">
        <v>374</v>
      </c>
      <c r="C34" s="3" t="s">
        <v>377</v>
      </c>
      <c r="D34" s="3" t="s">
        <v>378</v>
      </c>
      <c r="E34" s="3" t="s">
        <v>191</v>
      </c>
      <c r="F34" s="3" t="s">
        <v>380</v>
      </c>
      <c r="G34" s="3"/>
      <c r="H34" s="3" t="s">
        <v>340</v>
      </c>
      <c r="I34" s="3" t="s">
        <v>191</v>
      </c>
    </row>
    <row r="35" spans="1:9" ht="43.2" hidden="1" x14ac:dyDescent="0.3">
      <c r="A35" s="2" t="s">
        <v>375</v>
      </c>
      <c r="B35" s="3" t="s">
        <v>376</v>
      </c>
      <c r="C35" s="3" t="s">
        <v>377</v>
      </c>
      <c r="D35" s="3" t="s">
        <v>379</v>
      </c>
      <c r="E35" s="3" t="s">
        <v>191</v>
      </c>
      <c r="F35" s="3" t="s">
        <v>381</v>
      </c>
      <c r="G35" s="3"/>
      <c r="H35" s="3" t="s">
        <v>340</v>
      </c>
      <c r="I35" s="3" t="s">
        <v>191</v>
      </c>
    </row>
    <row r="36" spans="1:9" ht="72" hidden="1" x14ac:dyDescent="0.3">
      <c r="A36" s="2" t="s">
        <v>382</v>
      </c>
      <c r="B36" s="3" t="s">
        <v>383</v>
      </c>
      <c r="C36" s="3" t="s">
        <v>30</v>
      </c>
      <c r="D36" s="3" t="s">
        <v>384</v>
      </c>
      <c r="E36" s="3" t="s">
        <v>191</v>
      </c>
      <c r="F36" s="3" t="s">
        <v>385</v>
      </c>
      <c r="G36" s="3" t="s">
        <v>386</v>
      </c>
      <c r="H36" s="3" t="s">
        <v>283</v>
      </c>
      <c r="I36" s="3" t="s">
        <v>260</v>
      </c>
    </row>
    <row r="37" spans="1:9" ht="43.2" hidden="1" x14ac:dyDescent="0.3">
      <c r="A37" s="2" t="s">
        <v>387</v>
      </c>
      <c r="B37" s="3" t="s">
        <v>388</v>
      </c>
      <c r="C37" s="3" t="s">
        <v>389</v>
      </c>
      <c r="D37" s="3" t="s">
        <v>390</v>
      </c>
      <c r="E37" s="3" t="s">
        <v>391</v>
      </c>
      <c r="F37" s="3" t="s">
        <v>392</v>
      </c>
      <c r="G37" s="3" t="s">
        <v>393</v>
      </c>
      <c r="H37" s="3" t="s">
        <v>283</v>
      </c>
      <c r="I37" s="3" t="s">
        <v>260</v>
      </c>
    </row>
    <row r="38" spans="1:9" ht="57.6" hidden="1" x14ac:dyDescent="0.3">
      <c r="A38" s="2" t="s">
        <v>394</v>
      </c>
      <c r="B38" s="3" t="s">
        <v>395</v>
      </c>
      <c r="C38" s="3" t="s">
        <v>263</v>
      </c>
      <c r="D38" s="3" t="s">
        <v>396</v>
      </c>
      <c r="E38" s="3" t="s">
        <v>302</v>
      </c>
      <c r="F38" s="3" t="s">
        <v>397</v>
      </c>
      <c r="G38" s="3" t="s">
        <v>397</v>
      </c>
      <c r="H38" s="3" t="s">
        <v>26</v>
      </c>
      <c r="I38" s="3" t="str">
        <f>IF(Table1[[#This Row],[Status]] = "Passed","N/A","No")</f>
        <v>N/A</v>
      </c>
    </row>
    <row r="39" spans="1:9" ht="115.2" hidden="1" x14ac:dyDescent="0.3">
      <c r="A39" s="2" t="s">
        <v>398</v>
      </c>
      <c r="B39" s="3" t="s">
        <v>399</v>
      </c>
      <c r="C39" s="3" t="s">
        <v>263</v>
      </c>
      <c r="D39" s="3" t="s">
        <v>400</v>
      </c>
      <c r="E39" s="3" t="s">
        <v>302</v>
      </c>
      <c r="F39" s="3" t="s">
        <v>401</v>
      </c>
      <c r="G39" s="3" t="s">
        <v>402</v>
      </c>
      <c r="H39" s="3" t="s">
        <v>283</v>
      </c>
      <c r="I39" s="3" t="s">
        <v>260</v>
      </c>
    </row>
  </sheetData>
  <phoneticPr fontId="4" type="noConversion"/>
  <conditionalFormatting sqref="H1:H1048576">
    <cfRule type="containsText" dxfId="26" priority="1" operator="containsText" text="Obsolete">
      <formula>NOT(ISERROR(SEARCH("Obsolete",H1)))</formula>
    </cfRule>
    <cfRule type="containsText" dxfId="25" priority="2" operator="containsText" text="Re-test">
      <formula>NOT(ISERROR(SEARCH("Re-test",H1)))</formula>
    </cfRule>
    <cfRule type="containsText" dxfId="24" priority="3" operator="containsText" text="Deferred">
      <formula>NOT(ISERROR(SEARCH("Deferred",H1)))</formula>
    </cfRule>
    <cfRule type="containsText" dxfId="23" priority="4" operator="containsText" text="Blocked">
      <formula>NOT(ISERROR(SEARCH("Blocked",H1)))</formula>
    </cfRule>
    <cfRule type="containsText" dxfId="22" priority="5" operator="containsText" text="Failed">
      <formula>NOT(ISERROR(SEARCH("Failed",H1)))</formula>
    </cfRule>
    <cfRule type="containsText" dxfId="21" priority="6" operator="containsText" text="Passed">
      <formula>NOT(ISERROR(SEARCH("Passed",H1)))</formula>
    </cfRule>
    <cfRule type="containsText" dxfId="20" priority="7" operator="containsText" text="In Progress">
      <formula>NOT(ISERROR(SEARCH("In Progress",H1)))</formula>
    </cfRule>
    <cfRule type="containsText" dxfId="19" priority="8" operator="containsText" text="Ready">
      <formula>NOT(ISERROR(SEARCH("Ready",H1)))</formula>
    </cfRule>
    <cfRule type="containsText" dxfId="18" priority="9" operator="containsText" text="New">
      <formula>NOT(ISERROR(SEARCH("New",H1)))</formula>
    </cfRule>
  </conditionalFormatting>
  <dataValidations count="3">
    <dataValidation type="list" allowBlank="1" showInputMessage="1" showErrorMessage="1" sqref="H2" xr:uid="{5CD12AAD-46E7-4012-A272-03E958687E48}">
      <formula1>"New,Ready,Passed,Failed,Blocked,Deferred,Re-test,Obsolete"</formula1>
    </dataValidation>
    <dataValidation type="list" allowBlank="1" showInputMessage="1" showErrorMessage="1" sqref="I2:I39" xr:uid="{5A00AAD9-D72A-4CFE-8D77-938BF121CE82}">
      <formula1>"N/A,Yes,No"</formula1>
    </dataValidation>
    <dataValidation type="list" allowBlank="1" showInputMessage="1" showErrorMessage="1" sqref="H3:H53" xr:uid="{93AEFD79-B221-4F8A-A19A-96F5A6645CB6}">
      <formula1>"New,Ready,In Progress,Passed,Failed,Blocked,Deferred,Re-test,Obsolete"</formula1>
    </dataValidation>
  </dataValidations>
  <pageMargins left="0.7" right="0.7" top="0.75" bottom="0.75" header="0.3" footer="0.3"/>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672C4-C716-4368-8735-45304E05633B}">
  <dimension ref="A1:D7"/>
  <sheetViews>
    <sheetView topLeftCell="A2" workbookViewId="0">
      <selection activeCell="D7" sqref="D7"/>
    </sheetView>
  </sheetViews>
  <sheetFormatPr defaultRowHeight="14.4" x14ac:dyDescent="0.3"/>
  <cols>
    <col min="1" max="1" width="18.88671875" bestFit="1" customWidth="1"/>
    <col min="2" max="2" width="34.88671875" bestFit="1" customWidth="1"/>
    <col min="3" max="3" width="30.77734375" bestFit="1" customWidth="1"/>
    <col min="4" max="4" width="255.6640625" bestFit="1" customWidth="1"/>
  </cols>
  <sheetData>
    <row r="1" spans="1:4" x14ac:dyDescent="0.3">
      <c r="A1" t="s">
        <v>308</v>
      </c>
      <c r="B1" t="s">
        <v>323</v>
      </c>
      <c r="C1" t="s">
        <v>309</v>
      </c>
      <c r="D1" t="s">
        <v>310</v>
      </c>
    </row>
    <row r="2" spans="1:4" ht="187.2" x14ac:dyDescent="0.3">
      <c r="A2" t="s">
        <v>299</v>
      </c>
      <c r="B2" t="s">
        <v>303</v>
      </c>
      <c r="C2" t="s">
        <v>304</v>
      </c>
      <c r="D2" s="1" t="s">
        <v>311</v>
      </c>
    </row>
    <row r="3" spans="1:4" ht="201.6" x14ac:dyDescent="0.3">
      <c r="A3" t="s">
        <v>306</v>
      </c>
      <c r="B3" t="s">
        <v>307</v>
      </c>
      <c r="C3" s="1" t="s">
        <v>312</v>
      </c>
      <c r="D3" s="1" t="s">
        <v>313</v>
      </c>
    </row>
    <row r="4" spans="1:4" ht="409.6" x14ac:dyDescent="0.3">
      <c r="A4" t="s">
        <v>314</v>
      </c>
      <c r="B4" t="s">
        <v>317</v>
      </c>
      <c r="C4" s="1" t="s">
        <v>318</v>
      </c>
      <c r="D4" s="1" t="s">
        <v>319</v>
      </c>
    </row>
    <row r="5" spans="1:4" ht="409.6" x14ac:dyDescent="0.3">
      <c r="A5" t="s">
        <v>320</v>
      </c>
      <c r="B5" s="1" t="s">
        <v>324</v>
      </c>
      <c r="C5" s="1" t="s">
        <v>318</v>
      </c>
      <c r="D5" s="1" t="s">
        <v>325</v>
      </c>
    </row>
    <row r="6" spans="1:4" ht="409.6" x14ac:dyDescent="0.3">
      <c r="A6" t="s">
        <v>326</v>
      </c>
      <c r="B6" s="1" t="s">
        <v>329</v>
      </c>
      <c r="C6" s="1" t="s">
        <v>330</v>
      </c>
      <c r="D6" t="s">
        <v>331</v>
      </c>
    </row>
    <row r="7" spans="1:4" ht="409.6" x14ac:dyDescent="0.3">
      <c r="A7" t="s">
        <v>363</v>
      </c>
      <c r="B7" s="1" t="s">
        <v>365</v>
      </c>
      <c r="C7" t="s">
        <v>367</v>
      </c>
      <c r="D7" t="s">
        <v>366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81E2D-C822-4790-874A-A515918C156C}">
  <dimension ref="A1:I60"/>
  <sheetViews>
    <sheetView tabSelected="1" workbookViewId="0">
      <selection activeCell="J49" sqref="J49"/>
    </sheetView>
  </sheetViews>
  <sheetFormatPr defaultColWidth="23.21875" defaultRowHeight="14.4" x14ac:dyDescent="0.3"/>
  <cols>
    <col min="1" max="1" width="17.77734375" bestFit="1" customWidth="1"/>
    <col min="2" max="2" width="30" bestFit="1" customWidth="1"/>
    <col min="3" max="3" width="27.5546875" bestFit="1" customWidth="1"/>
    <col min="4" max="4" width="30.44140625" bestFit="1" customWidth="1"/>
    <col min="5" max="5" width="46.88671875" customWidth="1"/>
    <col min="6" max="7" width="30.109375" bestFit="1" customWidth="1"/>
    <col min="8" max="8" width="8.44140625" bestFit="1" customWidth="1"/>
  </cols>
  <sheetData>
    <row r="1" spans="1:9" x14ac:dyDescent="0.3">
      <c r="A1" s="7" t="s">
        <v>0</v>
      </c>
      <c r="B1" s="8" t="s">
        <v>1</v>
      </c>
      <c r="C1" s="8" t="s">
        <v>2</v>
      </c>
      <c r="D1" s="8" t="s">
        <v>3</v>
      </c>
      <c r="E1" s="8" t="s">
        <v>4</v>
      </c>
      <c r="F1" s="8" t="s">
        <v>5</v>
      </c>
      <c r="G1" s="8" t="s">
        <v>6</v>
      </c>
      <c r="H1" s="9" t="s">
        <v>7</v>
      </c>
      <c r="I1" s="8" t="s">
        <v>259</v>
      </c>
    </row>
    <row r="2" spans="1:9" ht="43.2" hidden="1" x14ac:dyDescent="0.3">
      <c r="A2" s="2" t="s">
        <v>14</v>
      </c>
      <c r="B2" s="3" t="s">
        <v>33</v>
      </c>
      <c r="C2" s="3" t="s">
        <v>30</v>
      </c>
      <c r="D2" s="3" t="s">
        <v>38</v>
      </c>
      <c r="E2" s="3" t="s">
        <v>28</v>
      </c>
      <c r="F2" s="3" t="s">
        <v>29</v>
      </c>
      <c r="G2" s="3" t="s">
        <v>29</v>
      </c>
      <c r="H2" s="3" t="str">
        <f>IF(Table2[[#This Row],[Expected Results]]=Table2[[#This Row],[Actual Result]],"Passed","Failed")</f>
        <v>Passed</v>
      </c>
      <c r="I2" s="3" t="str">
        <f>IF(Table2[[#This Row],[Status]] = "Passed", "N/A", "No")</f>
        <v>N/A</v>
      </c>
    </row>
    <row r="3" spans="1:9" ht="43.2" hidden="1" x14ac:dyDescent="0.3">
      <c r="A3" s="2" t="s">
        <v>15</v>
      </c>
      <c r="B3" s="3" t="s">
        <v>31</v>
      </c>
      <c r="C3" s="3" t="s">
        <v>30</v>
      </c>
      <c r="D3" s="3" t="s">
        <v>38</v>
      </c>
      <c r="E3" s="3" t="s">
        <v>34</v>
      </c>
      <c r="F3" s="3" t="s">
        <v>32</v>
      </c>
      <c r="G3" s="3" t="s">
        <v>32</v>
      </c>
      <c r="H3" s="3" t="str">
        <f>IF(Table2[[#This Row],[Expected Results]]=Table2[[#This Row],[Actual Result]],"Passed","Failed")</f>
        <v>Passed</v>
      </c>
      <c r="I3" s="3" t="str">
        <f>IF(Table2[[#This Row],[Status]] = "Passed", "N/A", "No")</f>
        <v>N/A</v>
      </c>
    </row>
    <row r="4" spans="1:9" ht="43.2" hidden="1" x14ac:dyDescent="0.3">
      <c r="A4" s="2" t="s">
        <v>16</v>
      </c>
      <c r="B4" s="3" t="s">
        <v>36</v>
      </c>
      <c r="C4" s="3" t="s">
        <v>30</v>
      </c>
      <c r="D4" s="3" t="s">
        <v>38</v>
      </c>
      <c r="E4" s="3" t="s">
        <v>39</v>
      </c>
      <c r="F4" s="3" t="s">
        <v>32</v>
      </c>
      <c r="G4" s="3" t="s">
        <v>32</v>
      </c>
      <c r="H4" s="3" t="str">
        <f>IF(Table2[[#This Row],[Expected Results]]=Table2[[#This Row],[Actual Result]],"Passed","Failed")</f>
        <v>Passed</v>
      </c>
      <c r="I4" s="3" t="str">
        <f>IF(Table2[[#This Row],[Status]] = "Passed", "N/A", "No")</f>
        <v>N/A</v>
      </c>
    </row>
    <row r="5" spans="1:9" ht="43.2" hidden="1" x14ac:dyDescent="0.3">
      <c r="A5" s="2" t="s">
        <v>17</v>
      </c>
      <c r="B5" s="3" t="s">
        <v>35</v>
      </c>
      <c r="C5" s="3" t="s">
        <v>30</v>
      </c>
      <c r="D5" s="3" t="s">
        <v>38</v>
      </c>
      <c r="E5" s="3" t="s">
        <v>40</v>
      </c>
      <c r="F5" s="3" t="s">
        <v>32</v>
      </c>
      <c r="G5" s="3" t="s">
        <v>32</v>
      </c>
      <c r="H5" s="3" t="str">
        <f>IF(Table2[[#This Row],[Expected Results]]=Table2[[#This Row],[Actual Result]],"Passed","Failed")</f>
        <v>Passed</v>
      </c>
      <c r="I5" s="3" t="str">
        <f>IF(Table2[[#This Row],[Status]] = "Passed", "N/A", "No")</f>
        <v>N/A</v>
      </c>
    </row>
    <row r="6" spans="1:9" ht="72" hidden="1" x14ac:dyDescent="0.3">
      <c r="A6" s="2" t="s">
        <v>18</v>
      </c>
      <c r="B6" s="3" t="s">
        <v>37</v>
      </c>
      <c r="C6" s="3" t="s">
        <v>30</v>
      </c>
      <c r="D6" s="3" t="s">
        <v>38</v>
      </c>
      <c r="E6" s="3" t="s">
        <v>41</v>
      </c>
      <c r="F6" s="3" t="s">
        <v>32</v>
      </c>
      <c r="G6" s="3" t="s">
        <v>32</v>
      </c>
      <c r="H6" s="3" t="str">
        <f>IF(Table2[[#This Row],[Expected Results]]=Table2[[#This Row],[Actual Result]],"Passed","Failed")</f>
        <v>Passed</v>
      </c>
      <c r="I6" s="3" t="str">
        <f>IF(Table2[[#This Row],[Status]] = "Passed", "N/A", "No")</f>
        <v>N/A</v>
      </c>
    </row>
    <row r="7" spans="1:9" ht="100.8" hidden="1" x14ac:dyDescent="0.3">
      <c r="A7" s="2" t="s">
        <v>19</v>
      </c>
      <c r="B7" s="3" t="s">
        <v>42</v>
      </c>
      <c r="C7" s="3" t="s">
        <v>30</v>
      </c>
      <c r="D7" s="3" t="s">
        <v>38</v>
      </c>
      <c r="E7" s="3" t="s">
        <v>43</v>
      </c>
      <c r="F7" s="3" t="s">
        <v>32</v>
      </c>
      <c r="G7" s="3" t="s">
        <v>32</v>
      </c>
      <c r="H7" s="3" t="str">
        <f>IF(Table2[[#This Row],[Expected Results]]=Table2[[#This Row],[Actual Result]],"Passed","Failed")</f>
        <v>Passed</v>
      </c>
      <c r="I7" s="3" t="str">
        <f>IF(Table2[[#This Row],[Status]] = "Passed", "N/A", "No")</f>
        <v>N/A</v>
      </c>
    </row>
    <row r="8" spans="1:9" ht="43.2" hidden="1" x14ac:dyDescent="0.3">
      <c r="A8" s="2" t="s">
        <v>22</v>
      </c>
      <c r="B8" s="3" t="s">
        <v>46</v>
      </c>
      <c r="C8" s="3" t="s">
        <v>30</v>
      </c>
      <c r="D8" s="3" t="s">
        <v>47</v>
      </c>
      <c r="E8" s="3" t="s">
        <v>171</v>
      </c>
      <c r="F8" s="3" t="b">
        <v>0</v>
      </c>
      <c r="G8" s="3" t="b">
        <v>0</v>
      </c>
      <c r="H8" s="3" t="str">
        <f>IF(Table2[[#This Row],[Expected Results]]=Table2[[#This Row],[Actual Result]],"Passed","Failed")</f>
        <v>Passed</v>
      </c>
      <c r="I8" s="3" t="str">
        <f>IF(Table2[[#This Row],[Status]] = "Passed", "N/A", "No")</f>
        <v>N/A</v>
      </c>
    </row>
    <row r="9" spans="1:9" ht="28.8" x14ac:dyDescent="0.3">
      <c r="A9" s="2" t="s">
        <v>48</v>
      </c>
      <c r="B9" s="3" t="s">
        <v>50</v>
      </c>
      <c r="C9" s="3" t="s">
        <v>30</v>
      </c>
      <c r="D9" s="3" t="s">
        <v>47</v>
      </c>
      <c r="E9" s="3" t="s">
        <v>172</v>
      </c>
      <c r="F9" s="3" t="b">
        <v>1</v>
      </c>
      <c r="G9" s="3" t="b">
        <v>0</v>
      </c>
      <c r="H9" s="3" t="str">
        <f>IF(Table2[[#This Row],[Expected Results]]=Table2[[#This Row],[Actual Result]],"Passed","Failed")</f>
        <v>Failed</v>
      </c>
      <c r="I9" s="3" t="s">
        <v>260</v>
      </c>
    </row>
    <row r="10" spans="1:9" ht="28.8" hidden="1" x14ac:dyDescent="0.3">
      <c r="A10" s="2" t="s">
        <v>56</v>
      </c>
      <c r="B10" s="3" t="s">
        <v>54</v>
      </c>
      <c r="C10" s="3" t="s">
        <v>30</v>
      </c>
      <c r="D10" s="3" t="s">
        <v>47</v>
      </c>
      <c r="E10" s="3" t="s">
        <v>173</v>
      </c>
      <c r="F10" s="3" t="b">
        <v>1</v>
      </c>
      <c r="G10" s="3" t="b">
        <v>1</v>
      </c>
      <c r="H10" s="3" t="str">
        <f>IF(Table2[[#This Row],[Expected Results]]=Table2[[#This Row],[Actual Result]],"Passed","Failed")</f>
        <v>Passed</v>
      </c>
      <c r="I10" s="3" t="str">
        <f>IF(Table2[[#This Row],[Status]] = "Passed", "N/A", "No")</f>
        <v>N/A</v>
      </c>
    </row>
    <row r="11" spans="1:9" ht="28.8" hidden="1" x14ac:dyDescent="0.3">
      <c r="A11" s="2" t="s">
        <v>57</v>
      </c>
      <c r="B11" s="3" t="s">
        <v>55</v>
      </c>
      <c r="C11" s="3" t="s">
        <v>30</v>
      </c>
      <c r="D11" s="3" t="s">
        <v>47</v>
      </c>
      <c r="E11" s="3" t="s">
        <v>174</v>
      </c>
      <c r="F11" s="3" t="b">
        <v>1</v>
      </c>
      <c r="G11" s="3" t="b">
        <v>1</v>
      </c>
      <c r="H11" s="3" t="str">
        <f>IF(Table2[[#This Row],[Expected Results]]=Table2[[#This Row],[Actual Result]],"Passed","Failed")</f>
        <v>Passed</v>
      </c>
      <c r="I11" s="3" t="str">
        <f>IF(Table2[[#This Row],[Status]] = "Passed", "N/A", "No")</f>
        <v>N/A</v>
      </c>
    </row>
    <row r="12" spans="1:9" ht="43.2" hidden="1" x14ac:dyDescent="0.3">
      <c r="A12" s="2" t="s">
        <v>24</v>
      </c>
      <c r="B12" s="3" t="s">
        <v>65</v>
      </c>
      <c r="C12" s="3" t="s">
        <v>30</v>
      </c>
      <c r="D12" s="3" t="s">
        <v>59</v>
      </c>
      <c r="E12" s="3" t="s">
        <v>67</v>
      </c>
      <c r="F12" s="10" t="s">
        <v>175</v>
      </c>
      <c r="G12" s="10" t="s">
        <v>175</v>
      </c>
      <c r="H12" s="3" t="str">
        <f>IF(Table2[[#This Row],[Expected Results]]=Table2[[#This Row],[Actual Result]],"Passed","Failed")</f>
        <v>Passed</v>
      </c>
      <c r="I12" s="3" t="str">
        <f>IF(Table2[[#This Row],[Status]] = "Passed", "N/A", "No")</f>
        <v>N/A</v>
      </c>
    </row>
    <row r="13" spans="1:9" ht="43.2" hidden="1" x14ac:dyDescent="0.3">
      <c r="A13" s="2" t="s">
        <v>58</v>
      </c>
      <c r="B13" s="3" t="s">
        <v>64</v>
      </c>
      <c r="C13" s="3" t="s">
        <v>30</v>
      </c>
      <c r="D13" s="3" t="s">
        <v>59</v>
      </c>
      <c r="E13" s="3" t="s">
        <v>68</v>
      </c>
      <c r="F13" s="10" t="s">
        <v>175</v>
      </c>
      <c r="G13" s="10" t="s">
        <v>175</v>
      </c>
      <c r="H13" s="3" t="str">
        <f>IF(Table2[[#This Row],[Expected Results]]=Table2[[#This Row],[Actual Result]],"Passed","Failed")</f>
        <v>Passed</v>
      </c>
      <c r="I13" s="3" t="str">
        <f>IF(Table2[[#This Row],[Status]] = "Passed", "N/A", "No")</f>
        <v>N/A</v>
      </c>
    </row>
    <row r="14" spans="1:9" ht="57.6" hidden="1" x14ac:dyDescent="0.3">
      <c r="A14" s="2" t="s">
        <v>49</v>
      </c>
      <c r="B14" s="3" t="s">
        <v>63</v>
      </c>
      <c r="C14" s="3" t="s">
        <v>30</v>
      </c>
      <c r="D14" s="3" t="s">
        <v>59</v>
      </c>
      <c r="E14" s="3" t="s">
        <v>69</v>
      </c>
      <c r="F14" s="10" t="s">
        <v>176</v>
      </c>
      <c r="G14" s="10" t="s">
        <v>176</v>
      </c>
      <c r="H14" s="3" t="str">
        <f>IF(Table2[[#This Row],[Expected Results]]=Table2[[#This Row],[Actual Result]],"Passed","Failed")</f>
        <v>Passed</v>
      </c>
      <c r="I14" s="3" t="str">
        <f>IF(Table2[[#This Row],[Status]] = "Passed", "N/A", "No")</f>
        <v>N/A</v>
      </c>
    </row>
    <row r="15" spans="1:9" ht="43.2" x14ac:dyDescent="0.3">
      <c r="A15" s="2" t="s">
        <v>51</v>
      </c>
      <c r="B15" s="3" t="s">
        <v>62</v>
      </c>
      <c r="C15" s="3" t="s">
        <v>30</v>
      </c>
      <c r="D15" s="3" t="s">
        <v>59</v>
      </c>
      <c r="E15" s="3" t="s">
        <v>70</v>
      </c>
      <c r="F15" s="10" t="s">
        <v>175</v>
      </c>
      <c r="G15" s="10" t="s">
        <v>176</v>
      </c>
      <c r="H15" s="3" t="str">
        <f>IF(Table2[[#This Row],[Expected Results]]=Table2[[#This Row],[Actual Result]],"Passed","Failed")</f>
        <v>Failed</v>
      </c>
      <c r="I15" s="3" t="s">
        <v>260</v>
      </c>
    </row>
    <row r="16" spans="1:9" ht="43.2" hidden="1" x14ac:dyDescent="0.3">
      <c r="A16" s="2" t="s">
        <v>52</v>
      </c>
      <c r="B16" s="3" t="s">
        <v>61</v>
      </c>
      <c r="C16" s="3" t="s">
        <v>30</v>
      </c>
      <c r="D16" s="3" t="s">
        <v>59</v>
      </c>
      <c r="E16" s="3" t="s">
        <v>71</v>
      </c>
      <c r="F16" s="10" t="s">
        <v>123</v>
      </c>
      <c r="G16" s="10" t="s">
        <v>123</v>
      </c>
      <c r="H16" s="3" t="str">
        <f>IF(Table2[[#This Row],[Expected Results]]=Table2[[#This Row],[Actual Result]],"Passed","Failed")</f>
        <v>Passed</v>
      </c>
      <c r="I16" s="3" t="str">
        <f>IF(Table2[[#This Row],[Status]] = "Passed", "N/A", "No")</f>
        <v>N/A</v>
      </c>
    </row>
    <row r="17" spans="1:9" ht="43.2" hidden="1" x14ac:dyDescent="0.3">
      <c r="A17" s="2" t="s">
        <v>52</v>
      </c>
      <c r="B17" s="3" t="s">
        <v>60</v>
      </c>
      <c r="C17" s="3" t="s">
        <v>30</v>
      </c>
      <c r="D17" s="3" t="s">
        <v>59</v>
      </c>
      <c r="E17" s="3" t="s">
        <v>66</v>
      </c>
      <c r="F17" s="10" t="s">
        <v>123</v>
      </c>
      <c r="G17" s="10" t="s">
        <v>123</v>
      </c>
      <c r="H17" s="3" t="str">
        <f>IF(Table2[[#This Row],[Expected Results]]=Table2[[#This Row],[Actual Result]],"Passed","Failed")</f>
        <v>Passed</v>
      </c>
      <c r="I17" s="3" t="str">
        <f>IF(Table2[[#This Row],[Status]] = "Passed", "N/A", "No")</f>
        <v>N/A</v>
      </c>
    </row>
    <row r="18" spans="1:9" ht="43.2" hidden="1" x14ac:dyDescent="0.3">
      <c r="A18" s="2" t="s">
        <v>53</v>
      </c>
      <c r="B18" s="3" t="s">
        <v>72</v>
      </c>
      <c r="C18" s="3" t="s">
        <v>30</v>
      </c>
      <c r="D18" s="3" t="s">
        <v>75</v>
      </c>
      <c r="E18" s="3" t="s">
        <v>92</v>
      </c>
      <c r="F18" s="10" t="s">
        <v>177</v>
      </c>
      <c r="G18" s="10" t="s">
        <v>177</v>
      </c>
      <c r="H18" s="3" t="str">
        <f>IF(Table2[[#This Row],[Expected Results]]=Table2[[#This Row],[Actual Result]],"Passed","Failed")</f>
        <v>Passed</v>
      </c>
      <c r="I18" s="3" t="str">
        <f>IF(Table2[[#This Row],[Status]] = "Passed", "N/A", "No")</f>
        <v>N/A</v>
      </c>
    </row>
    <row r="19" spans="1:9" ht="57.6" hidden="1" x14ac:dyDescent="0.3">
      <c r="A19" s="2" t="s">
        <v>73</v>
      </c>
      <c r="B19" s="3" t="s">
        <v>95</v>
      </c>
      <c r="C19" s="3" t="s">
        <v>30</v>
      </c>
      <c r="D19" s="3" t="s">
        <v>75</v>
      </c>
      <c r="E19" s="3" t="s">
        <v>93</v>
      </c>
      <c r="F19" s="10" t="s">
        <v>178</v>
      </c>
      <c r="G19" s="10" t="s">
        <v>178</v>
      </c>
      <c r="H19" s="3" t="str">
        <f>IF(Table2[[#This Row],[Expected Results]]=Table2[[#This Row],[Actual Result]],"Passed","Failed")</f>
        <v>Passed</v>
      </c>
      <c r="I19" s="3" t="str">
        <f>IF(Table2[[#This Row],[Status]] = "Passed", "N/A", "No")</f>
        <v>N/A</v>
      </c>
    </row>
    <row r="20" spans="1:9" ht="28.8" hidden="1" x14ac:dyDescent="0.3">
      <c r="A20" s="2" t="s">
        <v>74</v>
      </c>
      <c r="B20" s="3" t="s">
        <v>96</v>
      </c>
      <c r="C20" s="3" t="s">
        <v>30</v>
      </c>
      <c r="D20" s="3" t="s">
        <v>75</v>
      </c>
      <c r="E20" s="3" t="s">
        <v>94</v>
      </c>
      <c r="F20" s="10" t="s">
        <v>123</v>
      </c>
      <c r="G20" s="10" t="s">
        <v>123</v>
      </c>
      <c r="H20" s="3" t="str">
        <f>IF(Table2[[#This Row],[Expected Results]]=Table2[[#This Row],[Actual Result]],"Passed","Failed")</f>
        <v>Passed</v>
      </c>
      <c r="I20" s="3" t="str">
        <f>IF(Table2[[#This Row],[Status]] = "Passed", "N/A", "No")</f>
        <v>N/A</v>
      </c>
    </row>
    <row r="21" spans="1:9" ht="57.6" hidden="1" x14ac:dyDescent="0.3">
      <c r="A21" s="2" t="s">
        <v>27</v>
      </c>
      <c r="B21" s="3" t="s">
        <v>103</v>
      </c>
      <c r="C21" s="3" t="s">
        <v>30</v>
      </c>
      <c r="D21" s="3" t="s">
        <v>106</v>
      </c>
      <c r="E21" s="3" t="s">
        <v>107</v>
      </c>
      <c r="F21" s="3" t="s">
        <v>179</v>
      </c>
      <c r="G21" s="3" t="s">
        <v>179</v>
      </c>
      <c r="H21" s="3" t="str">
        <f>IF(Table2[[#This Row],[Expected Results]]=Table2[[#This Row],[Actual Result]],"Passed","Failed")</f>
        <v>Passed</v>
      </c>
      <c r="I21" s="3" t="str">
        <f>IF(Table2[[#This Row],[Status]] = "Passed", "N/A", "No")</f>
        <v>N/A</v>
      </c>
    </row>
    <row r="22" spans="1:9" ht="57.6" x14ac:dyDescent="0.3">
      <c r="A22" s="2" t="s">
        <v>99</v>
      </c>
      <c r="B22" s="3" t="s">
        <v>104</v>
      </c>
      <c r="C22" s="3" t="s">
        <v>30</v>
      </c>
      <c r="D22" s="3" t="s">
        <v>106</v>
      </c>
      <c r="E22" s="3" t="s">
        <v>107</v>
      </c>
      <c r="F22" s="3" t="s">
        <v>180</v>
      </c>
      <c r="G22" s="3" t="s">
        <v>224</v>
      </c>
      <c r="H22" s="3" t="str">
        <f>IF(Table2[[#This Row],[Expected Results]]=Table2[[#This Row],[Actual Result]],"Passed","Failed")</f>
        <v>Failed</v>
      </c>
      <c r="I22" s="3" t="s">
        <v>260</v>
      </c>
    </row>
    <row r="23" spans="1:9" ht="57.6" hidden="1" x14ac:dyDescent="0.3">
      <c r="A23" s="2" t="s">
        <v>100</v>
      </c>
      <c r="B23" s="3" t="s">
        <v>105</v>
      </c>
      <c r="C23" s="3" t="s">
        <v>30</v>
      </c>
      <c r="D23" s="3" t="s">
        <v>106</v>
      </c>
      <c r="E23" s="3" t="s">
        <v>107</v>
      </c>
      <c r="F23" s="3" t="s">
        <v>181</v>
      </c>
      <c r="G23" s="3" t="s">
        <v>181</v>
      </c>
      <c r="H23" s="3" t="str">
        <f>IF(Table2[[#This Row],[Expected Results]]=Table2[[#This Row],[Actual Result]],"Passed","Failed")</f>
        <v>Passed</v>
      </c>
      <c r="I23" s="3" t="str">
        <f>IF(Table2[[#This Row],[Status]] = "Passed", "N/A", "No")</f>
        <v>N/A</v>
      </c>
    </row>
    <row r="24" spans="1:9" ht="57.6" hidden="1" x14ac:dyDescent="0.3">
      <c r="A24" s="2" t="s">
        <v>108</v>
      </c>
      <c r="B24" s="3" t="s">
        <v>163</v>
      </c>
      <c r="C24" s="3" t="s">
        <v>30</v>
      </c>
      <c r="D24" s="3" t="s">
        <v>164</v>
      </c>
      <c r="E24" s="3" t="s">
        <v>258</v>
      </c>
      <c r="F24" s="3" t="b">
        <v>1</v>
      </c>
      <c r="G24" s="3" t="b">
        <v>1</v>
      </c>
      <c r="H24" s="3" t="str">
        <f>IF(Table2[[#This Row],[Expected Results]]=Table2[[#This Row],[Actual Result]],"Passed","Failed")</f>
        <v>Passed</v>
      </c>
      <c r="I24" s="3" t="str">
        <f>IF(Table2[[#This Row],[Status]] = "Passed", "N/A", "No")</f>
        <v>N/A</v>
      </c>
    </row>
    <row r="25" spans="1:9" ht="57.6" hidden="1" x14ac:dyDescent="0.3">
      <c r="A25" s="2" t="s">
        <v>165</v>
      </c>
      <c r="B25" s="3" t="s">
        <v>166</v>
      </c>
      <c r="C25" s="3" t="s">
        <v>30</v>
      </c>
      <c r="D25" s="3" t="s">
        <v>167</v>
      </c>
      <c r="E25" s="3" t="s">
        <v>258</v>
      </c>
      <c r="F25" s="3" t="s">
        <v>168</v>
      </c>
      <c r="G25" s="3" t="s">
        <v>168</v>
      </c>
      <c r="H25" s="3" t="str">
        <f>IF(Table2[[#This Row],[Expected Results]]=Table2[[#This Row],[Actual Result]],"Passed","Failed")</f>
        <v>Passed</v>
      </c>
      <c r="I25" s="3" t="str">
        <f>IF(Table2[[#This Row],[Status]] = "Passed", "N/A", "No")</f>
        <v>N/A</v>
      </c>
    </row>
    <row r="26" spans="1:9" ht="28.8" hidden="1" x14ac:dyDescent="0.3">
      <c r="A26" s="2" t="s">
        <v>169</v>
      </c>
      <c r="B26" s="3" t="s">
        <v>227</v>
      </c>
      <c r="C26" s="3" t="s">
        <v>30</v>
      </c>
      <c r="D26" s="3" t="s">
        <v>170</v>
      </c>
      <c r="E26" s="3" t="s">
        <v>226</v>
      </c>
      <c r="F26" s="3" t="b">
        <v>1</v>
      </c>
      <c r="G26" s="3" t="b">
        <v>1</v>
      </c>
      <c r="H26" s="3" t="str">
        <f>IF(Table2[[#This Row],[Expected Results]]=Table2[[#This Row],[Actual Result]],"Passed","Failed")</f>
        <v>Passed</v>
      </c>
      <c r="I26" s="3" t="str">
        <f>IF(Table2[[#This Row],[Status]] = "Passed", "N/A", "No")</f>
        <v>N/A</v>
      </c>
    </row>
    <row r="27" spans="1:9" ht="28.8" hidden="1" x14ac:dyDescent="0.3">
      <c r="A27" s="2" t="s">
        <v>225</v>
      </c>
      <c r="B27" s="3" t="s">
        <v>228</v>
      </c>
      <c r="C27" s="3" t="s">
        <v>30</v>
      </c>
      <c r="D27" s="3" t="s">
        <v>170</v>
      </c>
      <c r="E27" s="3" t="s">
        <v>226</v>
      </c>
      <c r="F27" s="3" t="s">
        <v>229</v>
      </c>
      <c r="G27" s="3" t="s">
        <v>229</v>
      </c>
      <c r="H27" s="3" t="str">
        <f>IF(Table2[[#This Row],[Expected Results]]=Table2[[#This Row],[Actual Result]],"Passed","Failed")</f>
        <v>Passed</v>
      </c>
      <c r="I27" s="3" t="str">
        <f>IF(Table2[[#This Row],[Status]] = "Passed", "N/A", "No")</f>
        <v>N/A</v>
      </c>
    </row>
    <row r="28" spans="1:9" ht="72" hidden="1" x14ac:dyDescent="0.3">
      <c r="A28" s="2" t="s">
        <v>192</v>
      </c>
      <c r="B28" s="3" t="s">
        <v>193</v>
      </c>
      <c r="C28" s="3" t="s">
        <v>30</v>
      </c>
      <c r="D28" s="3" t="s">
        <v>194</v>
      </c>
      <c r="E28" s="3" t="s">
        <v>195</v>
      </c>
      <c r="F28" s="3" t="s">
        <v>236</v>
      </c>
      <c r="G28" s="3" t="s">
        <v>236</v>
      </c>
      <c r="H28" s="3" t="str">
        <f>IF(Table2[[#This Row],[Expected Results]]=Table2[[#This Row],[Actual Result]],"Passed","Failed")</f>
        <v>Passed</v>
      </c>
      <c r="I28" s="3" t="str">
        <f>IF(Table2[[#This Row],[Status]] = "Passed", "N/A", "No")</f>
        <v>N/A</v>
      </c>
    </row>
    <row r="29" spans="1:9" ht="57.6" hidden="1" x14ac:dyDescent="0.3">
      <c r="A29" s="2" t="s">
        <v>196</v>
      </c>
      <c r="B29" s="3" t="s">
        <v>197</v>
      </c>
      <c r="C29" s="3" t="s">
        <v>30</v>
      </c>
      <c r="D29" s="3" t="s">
        <v>194</v>
      </c>
      <c r="E29" s="3" t="s">
        <v>195</v>
      </c>
      <c r="F29" s="3" t="s">
        <v>237</v>
      </c>
      <c r="G29" s="3" t="s">
        <v>237</v>
      </c>
      <c r="H29" s="3" t="str">
        <f>IF(Table2[[#This Row],[Expected Results]]=Table2[[#This Row],[Actual Result]],"Passed","Failed")</f>
        <v>Passed</v>
      </c>
      <c r="I29" s="3" t="str">
        <f>IF(Table2[[#This Row],[Status]] = "Passed", "N/A", "No")</f>
        <v>N/A</v>
      </c>
    </row>
    <row r="30" spans="1:9" ht="28.8" hidden="1" x14ac:dyDescent="0.3">
      <c r="A30" s="2" t="s">
        <v>109</v>
      </c>
      <c r="B30" s="3" t="s">
        <v>110</v>
      </c>
      <c r="C30" s="3" t="s">
        <v>30</v>
      </c>
      <c r="D30" s="3" t="s">
        <v>115</v>
      </c>
      <c r="E30" s="3" t="s">
        <v>122</v>
      </c>
      <c r="F30" s="12" t="s">
        <v>182</v>
      </c>
      <c r="G30" s="3" t="s">
        <v>182</v>
      </c>
      <c r="H30" s="3" t="str">
        <f>IF(Table2[[#This Row],[Expected Results]]=Table2[[#This Row],[Actual Result]],"Passed","Failed")</f>
        <v>Passed</v>
      </c>
      <c r="I30" s="3" t="str">
        <f>IF(Table2[[#This Row],[Status]] = "Passed", "N/A", "No")</f>
        <v>N/A</v>
      </c>
    </row>
    <row r="31" spans="1:9" ht="28.8" hidden="1" x14ac:dyDescent="0.3">
      <c r="A31" s="2" t="s">
        <v>111</v>
      </c>
      <c r="B31" s="3" t="s">
        <v>113</v>
      </c>
      <c r="C31" s="3" t="s">
        <v>30</v>
      </c>
      <c r="D31" s="3" t="s">
        <v>115</v>
      </c>
      <c r="E31" s="3" t="s">
        <v>176</v>
      </c>
      <c r="F31" s="12" t="s">
        <v>176</v>
      </c>
      <c r="G31" s="3" t="s">
        <v>176</v>
      </c>
      <c r="H31" s="3" t="str">
        <f>IF(Table2[[#This Row],[Expected Results]]=Table2[[#This Row],[Actual Result]],"Passed","Failed")</f>
        <v>Passed</v>
      </c>
      <c r="I31" s="3" t="str">
        <f>IF(Table2[[#This Row],[Status]] = "Passed", "N/A", "No")</f>
        <v>N/A</v>
      </c>
    </row>
    <row r="32" spans="1:9" ht="28.8" hidden="1" x14ac:dyDescent="0.3">
      <c r="A32" s="2" t="s">
        <v>112</v>
      </c>
      <c r="B32" s="3" t="s">
        <v>114</v>
      </c>
      <c r="C32" s="3" t="s">
        <v>30</v>
      </c>
      <c r="D32" s="3" t="s">
        <v>115</v>
      </c>
      <c r="E32" s="3" t="s">
        <v>124</v>
      </c>
      <c r="F32" s="12" t="s">
        <v>183</v>
      </c>
      <c r="G32" s="3" t="s">
        <v>183</v>
      </c>
      <c r="H32" s="3" t="str">
        <f>IF(Table2[[#This Row],[Expected Results]]=Table2[[#This Row],[Actual Result]],"Passed","Failed")</f>
        <v>Passed</v>
      </c>
      <c r="I32" s="3" t="str">
        <f>IF(Table2[[#This Row],[Status]] = "Passed", "N/A", "No")</f>
        <v>N/A</v>
      </c>
    </row>
    <row r="33" spans="1:9" ht="43.2" x14ac:dyDescent="0.3">
      <c r="A33" s="2" t="s">
        <v>116</v>
      </c>
      <c r="B33" s="3" t="s">
        <v>217</v>
      </c>
      <c r="C33" s="3" t="s">
        <v>30</v>
      </c>
      <c r="D33" s="3" t="s">
        <v>221</v>
      </c>
      <c r="E33" s="3" t="s">
        <v>119</v>
      </c>
      <c r="F33" s="3" t="s">
        <v>120</v>
      </c>
      <c r="G33" s="3" t="s">
        <v>238</v>
      </c>
      <c r="H33" s="3" t="str">
        <f>IF(Table2[[#This Row],[Expected Results]]=Table2[[#This Row],[Actual Result]],"Passed","Failed")</f>
        <v>Failed</v>
      </c>
      <c r="I33" s="3" t="s">
        <v>260</v>
      </c>
    </row>
    <row r="34" spans="1:9" ht="43.2" hidden="1" x14ac:dyDescent="0.3">
      <c r="A34" s="2" t="s">
        <v>117</v>
      </c>
      <c r="B34" s="3" t="s">
        <v>216</v>
      </c>
      <c r="C34" s="3" t="s">
        <v>30</v>
      </c>
      <c r="D34" s="3" t="s">
        <v>221</v>
      </c>
      <c r="E34" s="3" t="s">
        <v>121</v>
      </c>
      <c r="F34" s="3" t="s">
        <v>120</v>
      </c>
      <c r="G34" s="3" t="s">
        <v>120</v>
      </c>
      <c r="H34" s="3" t="str">
        <f>IF(Table2[[#This Row],[Expected Results]]=Table2[[#This Row],[Actual Result]],"Passed","Failed")</f>
        <v>Passed</v>
      </c>
      <c r="I34" s="3" t="str">
        <f>IF(Table2[[#This Row],[Status]] = "Passed", "N/A", "No")</f>
        <v>N/A</v>
      </c>
    </row>
    <row r="35" spans="1:9" ht="43.2" hidden="1" x14ac:dyDescent="0.3">
      <c r="A35" s="2" t="s">
        <v>118</v>
      </c>
      <c r="B35" s="3" t="s">
        <v>218</v>
      </c>
      <c r="C35" s="3" t="s">
        <v>30</v>
      </c>
      <c r="D35" s="3" t="s">
        <v>221</v>
      </c>
      <c r="E35" s="3" t="s">
        <v>125</v>
      </c>
      <c r="F35" s="12" t="s">
        <v>184</v>
      </c>
      <c r="G35" s="12" t="s">
        <v>184</v>
      </c>
      <c r="H35" s="3" t="str">
        <f>IF(Table2[[#This Row],[Expected Results]]=Table2[[#This Row],[Actual Result]],"Passed","Failed")</f>
        <v>Passed</v>
      </c>
      <c r="I35" s="3" t="str">
        <f>IF(Table2[[#This Row],[Status]] = "Passed", "N/A", "No")</f>
        <v>N/A</v>
      </c>
    </row>
    <row r="36" spans="1:9" ht="43.2" hidden="1" x14ac:dyDescent="0.3">
      <c r="A36" s="2" t="s">
        <v>126</v>
      </c>
      <c r="B36" s="3" t="s">
        <v>219</v>
      </c>
      <c r="C36" s="3" t="s">
        <v>30</v>
      </c>
      <c r="D36" s="3" t="s">
        <v>221</v>
      </c>
      <c r="E36" s="3" t="s">
        <v>128</v>
      </c>
      <c r="F36" s="12" t="s">
        <v>185</v>
      </c>
      <c r="G36" s="12" t="s">
        <v>185</v>
      </c>
      <c r="H36" s="3" t="str">
        <f>IF(Table2[[#This Row],[Expected Results]]=Table2[[#This Row],[Actual Result]],"Passed","Failed")</f>
        <v>Passed</v>
      </c>
      <c r="I36" s="3" t="str">
        <f>IF(Table2[[#This Row],[Status]] = "Passed", "N/A", "No")</f>
        <v>N/A</v>
      </c>
    </row>
    <row r="37" spans="1:9" ht="43.2" hidden="1" x14ac:dyDescent="0.3">
      <c r="A37" s="2" t="s">
        <v>127</v>
      </c>
      <c r="B37" s="3" t="s">
        <v>220</v>
      </c>
      <c r="C37" s="3" t="s">
        <v>30</v>
      </c>
      <c r="D37" s="3" t="s">
        <v>221</v>
      </c>
      <c r="E37" s="3" t="s">
        <v>129</v>
      </c>
      <c r="F37" s="12" t="s">
        <v>176</v>
      </c>
      <c r="G37" s="12" t="s">
        <v>176</v>
      </c>
      <c r="H37" s="3" t="str">
        <f>IF(Table2[[#This Row],[Expected Results]]=Table2[[#This Row],[Actual Result]],"Passed","Failed")</f>
        <v>Passed</v>
      </c>
      <c r="I37" s="3" t="str">
        <f>IF(Table2[[#This Row],[Status]] = "Passed", "N/A", "No")</f>
        <v>N/A</v>
      </c>
    </row>
    <row r="38" spans="1:9" ht="43.2" hidden="1" x14ac:dyDescent="0.3">
      <c r="A38" s="2" t="s">
        <v>130</v>
      </c>
      <c r="B38" s="3" t="s">
        <v>133</v>
      </c>
      <c r="C38" s="3" t="s">
        <v>30</v>
      </c>
      <c r="D38" s="3" t="s">
        <v>138</v>
      </c>
      <c r="E38" s="3" t="s">
        <v>125</v>
      </c>
      <c r="F38" s="3" t="s">
        <v>120</v>
      </c>
      <c r="G38" s="3" t="s">
        <v>120</v>
      </c>
      <c r="H38" s="3" t="str">
        <f>IF(Table2[[#This Row],[Expected Results]]=Table2[[#This Row],[Actual Result]],"Passed","Failed")</f>
        <v>Passed</v>
      </c>
      <c r="I38" s="3" t="str">
        <f>IF(Table2[[#This Row],[Status]] = "Passed", "N/A", "No")</f>
        <v>N/A</v>
      </c>
    </row>
    <row r="39" spans="1:9" ht="43.2" hidden="1" x14ac:dyDescent="0.3">
      <c r="A39" s="2" t="s">
        <v>131</v>
      </c>
      <c r="B39" s="3" t="s">
        <v>148</v>
      </c>
      <c r="C39" s="3" t="s">
        <v>30</v>
      </c>
      <c r="D39" s="3" t="s">
        <v>138</v>
      </c>
      <c r="E39" s="3" t="s">
        <v>139</v>
      </c>
      <c r="F39" s="12" t="s">
        <v>186</v>
      </c>
      <c r="G39" s="12" t="s">
        <v>186</v>
      </c>
      <c r="H39" s="3" t="str">
        <f>IF(Table2[[#This Row],[Expected Results]]=Table2[[#This Row],[Actual Result]],"Passed","Failed")</f>
        <v>Passed</v>
      </c>
      <c r="I39" s="3" t="str">
        <f>IF(Table2[[#This Row],[Status]] = "Passed", "N/A", "No")</f>
        <v>N/A</v>
      </c>
    </row>
    <row r="40" spans="1:9" ht="43.2" hidden="1" x14ac:dyDescent="0.3">
      <c r="A40" s="2" t="s">
        <v>132</v>
      </c>
      <c r="B40" s="3" t="s">
        <v>149</v>
      </c>
      <c r="C40" s="3" t="s">
        <v>30</v>
      </c>
      <c r="D40" s="3" t="s">
        <v>138</v>
      </c>
      <c r="E40" s="3" t="s">
        <v>140</v>
      </c>
      <c r="F40" s="12" t="s">
        <v>187</v>
      </c>
      <c r="G40" s="12" t="s">
        <v>187</v>
      </c>
      <c r="H40" s="3" t="str">
        <f>IF(Table2[[#This Row],[Expected Results]]=Table2[[#This Row],[Actual Result]],"Passed","Failed")</f>
        <v>Passed</v>
      </c>
      <c r="I40" s="3" t="str">
        <f>IF(Table2[[#This Row],[Status]] = "Passed", "N/A", "No")</f>
        <v>N/A</v>
      </c>
    </row>
    <row r="41" spans="1:9" ht="43.2" hidden="1" x14ac:dyDescent="0.3">
      <c r="A41" s="2" t="s">
        <v>134</v>
      </c>
      <c r="B41" s="3" t="s">
        <v>150</v>
      </c>
      <c r="C41" s="3" t="s">
        <v>30</v>
      </c>
      <c r="D41" s="3" t="s">
        <v>138</v>
      </c>
      <c r="E41" s="3" t="s">
        <v>257</v>
      </c>
      <c r="F41" s="3" t="s">
        <v>120</v>
      </c>
      <c r="G41" s="3" t="s">
        <v>120</v>
      </c>
      <c r="H41" s="3" t="str">
        <f>IF(Table2[[#This Row],[Expected Results]]=Table2[[#This Row],[Actual Result]],"Passed","Failed")</f>
        <v>Passed</v>
      </c>
      <c r="I41" s="3" t="str">
        <f>IF(Table2[[#This Row],[Status]] = "Passed", "N/A", "No")</f>
        <v>N/A</v>
      </c>
    </row>
    <row r="42" spans="1:9" ht="43.2" x14ac:dyDescent="0.3">
      <c r="A42" s="2" t="s">
        <v>135</v>
      </c>
      <c r="B42" s="3" t="s">
        <v>151</v>
      </c>
      <c r="C42" s="3" t="s">
        <v>30</v>
      </c>
      <c r="D42" s="3" t="s">
        <v>138</v>
      </c>
      <c r="E42" s="3" t="s">
        <v>141</v>
      </c>
      <c r="F42" s="3" t="s">
        <v>120</v>
      </c>
      <c r="G42" s="3" t="s">
        <v>238</v>
      </c>
      <c r="H42" s="3" t="str">
        <f>IF(Table2[[#This Row],[Expected Results]]=Table2[[#This Row],[Actual Result]],"Passed","Failed")</f>
        <v>Failed</v>
      </c>
      <c r="I42" s="3" t="s">
        <v>260</v>
      </c>
    </row>
    <row r="43" spans="1:9" ht="43.2" hidden="1" x14ac:dyDescent="0.3">
      <c r="A43" s="2" t="s">
        <v>136</v>
      </c>
      <c r="B43" s="3" t="s">
        <v>152</v>
      </c>
      <c r="C43" s="3" t="s">
        <v>30</v>
      </c>
      <c r="D43" s="3" t="s">
        <v>138</v>
      </c>
      <c r="E43" s="3" t="s">
        <v>142</v>
      </c>
      <c r="F43" s="3" t="s">
        <v>120</v>
      </c>
      <c r="G43" s="3" t="s">
        <v>120</v>
      </c>
      <c r="H43" s="3" t="str">
        <f>IF(Table2[[#This Row],[Expected Results]]=Table2[[#This Row],[Actual Result]],"Passed","Failed")</f>
        <v>Passed</v>
      </c>
      <c r="I43" s="3" t="str">
        <f>IF(Table2[[#This Row],[Status]] = "Passed", "N/A", "No")</f>
        <v>N/A</v>
      </c>
    </row>
    <row r="44" spans="1:9" ht="43.2" hidden="1" x14ac:dyDescent="0.3">
      <c r="A44" s="2" t="s">
        <v>137</v>
      </c>
      <c r="B44" s="3" t="s">
        <v>153</v>
      </c>
      <c r="C44" s="3" t="s">
        <v>30</v>
      </c>
      <c r="D44" s="3" t="s">
        <v>158</v>
      </c>
      <c r="E44" s="3" t="s">
        <v>159</v>
      </c>
      <c r="F44" s="12" t="s">
        <v>188</v>
      </c>
      <c r="G44" s="12" t="s">
        <v>188</v>
      </c>
      <c r="H44" s="3" t="str">
        <f>IF(Table2[[#This Row],[Expected Results]]=Table2[[#This Row],[Actual Result]],"Passed","Failed")</f>
        <v>Passed</v>
      </c>
      <c r="I44" s="3" t="str">
        <f>IF(Table2[[#This Row],[Status]] = "Passed", "N/A", "No")</f>
        <v>N/A</v>
      </c>
    </row>
    <row r="45" spans="1:9" ht="43.2" hidden="1" x14ac:dyDescent="0.3">
      <c r="A45" s="2" t="s">
        <v>143</v>
      </c>
      <c r="B45" s="3" t="s">
        <v>154</v>
      </c>
      <c r="C45" s="3" t="s">
        <v>30</v>
      </c>
      <c r="D45" s="3" t="s">
        <v>158</v>
      </c>
      <c r="E45" s="3" t="s">
        <v>160</v>
      </c>
      <c r="F45" s="12" t="s">
        <v>189</v>
      </c>
      <c r="G45" s="12" t="s">
        <v>189</v>
      </c>
      <c r="H45" s="3" t="str">
        <f>IF(Table2[[#This Row],[Expected Results]]=Table2[[#This Row],[Actual Result]],"Passed","Failed")</f>
        <v>Passed</v>
      </c>
      <c r="I45" s="3" t="str">
        <f>IF(Table2[[#This Row],[Status]] = "Passed", "N/A", "No")</f>
        <v>N/A</v>
      </c>
    </row>
    <row r="46" spans="1:9" ht="43.2" hidden="1" x14ac:dyDescent="0.3">
      <c r="A46" s="2" t="s">
        <v>144</v>
      </c>
      <c r="B46" s="3" t="s">
        <v>155</v>
      </c>
      <c r="C46" s="3" t="s">
        <v>30</v>
      </c>
      <c r="D46" s="3" t="s">
        <v>158</v>
      </c>
      <c r="E46" s="3" t="s">
        <v>256</v>
      </c>
      <c r="F46" s="3" t="s">
        <v>120</v>
      </c>
      <c r="G46" s="3" t="s">
        <v>120</v>
      </c>
      <c r="H46" s="3" t="str">
        <f>IF(Table2[[#This Row],[Expected Results]]=Table2[[#This Row],[Actual Result]],"Passed","Failed")</f>
        <v>Passed</v>
      </c>
      <c r="I46" s="3" t="str">
        <f>IF(Table2[[#This Row],[Status]] = "Passed", "N/A", "No")</f>
        <v>N/A</v>
      </c>
    </row>
    <row r="47" spans="1:9" ht="43.2" hidden="1" x14ac:dyDescent="0.3">
      <c r="A47" s="2" t="s">
        <v>145</v>
      </c>
      <c r="B47" s="3" t="s">
        <v>156</v>
      </c>
      <c r="C47" s="3" t="s">
        <v>30</v>
      </c>
      <c r="D47" s="3" t="s">
        <v>158</v>
      </c>
      <c r="E47" s="3" t="s">
        <v>161</v>
      </c>
      <c r="F47" s="3" t="s">
        <v>120</v>
      </c>
      <c r="G47" s="3" t="s">
        <v>120</v>
      </c>
      <c r="H47" s="3" t="str">
        <f>IF(Table2[[#This Row],[Expected Results]]=Table2[[#This Row],[Actual Result]],"Passed","Failed")</f>
        <v>Passed</v>
      </c>
      <c r="I47" s="3" t="str">
        <f>IF(Table2[[#This Row],[Status]] = "Passed", "N/A", "No")</f>
        <v>N/A</v>
      </c>
    </row>
    <row r="48" spans="1:9" ht="43.2" hidden="1" x14ac:dyDescent="0.3">
      <c r="A48" s="2" t="s">
        <v>146</v>
      </c>
      <c r="B48" s="3" t="s">
        <v>157</v>
      </c>
      <c r="C48" s="3" t="s">
        <v>30</v>
      </c>
      <c r="D48" s="3" t="s">
        <v>158</v>
      </c>
      <c r="E48" s="3" t="s">
        <v>162</v>
      </c>
      <c r="F48" s="3" t="s">
        <v>120</v>
      </c>
      <c r="G48" s="3" t="s">
        <v>120</v>
      </c>
      <c r="H48" s="3" t="str">
        <f>IF(Table2[[#This Row],[Expected Results]]=Table2[[#This Row],[Actual Result]],"Passed","Failed")</f>
        <v>Passed</v>
      </c>
      <c r="I48" s="3" t="str">
        <f>IF(Table2[[#This Row],[Status]] = "Passed", "N/A", "No")</f>
        <v>N/A</v>
      </c>
    </row>
    <row r="49" spans="1:9" ht="43.2" x14ac:dyDescent="0.3">
      <c r="A49" s="2" t="s">
        <v>147</v>
      </c>
      <c r="B49" s="3" t="s">
        <v>239</v>
      </c>
      <c r="C49" s="3" t="s">
        <v>30</v>
      </c>
      <c r="D49" s="3" t="s">
        <v>240</v>
      </c>
      <c r="E49" s="3" t="s">
        <v>159</v>
      </c>
      <c r="F49" s="3" t="s">
        <v>241</v>
      </c>
      <c r="G49" s="3" t="s">
        <v>253</v>
      </c>
      <c r="H49" s="3" t="str">
        <f>IF(Table2[[#This Row],[Expected Results]]=Table2[[#This Row],[Actual Result]],"Passed","Failed")</f>
        <v>Failed</v>
      </c>
      <c r="I49" s="3" t="s">
        <v>260</v>
      </c>
    </row>
    <row r="50" spans="1:9" ht="43.2" x14ac:dyDescent="0.3">
      <c r="A50" s="2" t="s">
        <v>430</v>
      </c>
      <c r="B50" s="3" t="s">
        <v>242</v>
      </c>
      <c r="C50" s="3" t="s">
        <v>30</v>
      </c>
      <c r="D50" s="3" t="s">
        <v>240</v>
      </c>
      <c r="E50" s="3" t="s">
        <v>243</v>
      </c>
      <c r="F50" s="3" t="s">
        <v>244</v>
      </c>
      <c r="G50" s="3" t="s">
        <v>254</v>
      </c>
      <c r="H50" s="3" t="str">
        <f>IF(Table2[[#This Row],[Expected Results]]=Table2[[#This Row],[Actual Result]],"Passed","Failed")</f>
        <v>Failed</v>
      </c>
      <c r="I50" s="3" t="s">
        <v>260</v>
      </c>
    </row>
    <row r="51" spans="1:9" ht="43.2" x14ac:dyDescent="0.3">
      <c r="A51" s="2" t="s">
        <v>431</v>
      </c>
      <c r="B51" s="3" t="s">
        <v>245</v>
      </c>
      <c r="C51" s="3" t="s">
        <v>30</v>
      </c>
      <c r="D51" s="3" t="s">
        <v>240</v>
      </c>
      <c r="E51" s="3" t="s">
        <v>249</v>
      </c>
      <c r="F51" s="3" t="s">
        <v>252</v>
      </c>
      <c r="G51" s="3" t="s">
        <v>255</v>
      </c>
      <c r="H51" s="3" t="str">
        <f>IF(Table2[[#This Row],[Expected Results]]=Table2[[#This Row],[Actual Result]],"Passed","Failed")</f>
        <v>Failed</v>
      </c>
      <c r="I51" s="3" t="s">
        <v>260</v>
      </c>
    </row>
    <row r="52" spans="1:9" ht="43.2" hidden="1" x14ac:dyDescent="0.3">
      <c r="A52" s="2" t="s">
        <v>432</v>
      </c>
      <c r="B52" s="3" t="s">
        <v>246</v>
      </c>
      <c r="C52" s="3" t="s">
        <v>30</v>
      </c>
      <c r="D52" s="3" t="s">
        <v>240</v>
      </c>
      <c r="E52" s="3" t="s">
        <v>250</v>
      </c>
      <c r="F52" s="3" t="s">
        <v>120</v>
      </c>
      <c r="G52" s="3" t="s">
        <v>120</v>
      </c>
      <c r="H52" s="3" t="str">
        <f>IF(Table2[[#This Row],[Expected Results]]=Table2[[#This Row],[Actual Result]],"Passed","Failed")</f>
        <v>Passed</v>
      </c>
      <c r="I52" s="3" t="str">
        <f>IF(Table2[[#This Row],[Status]] = "Passed", "N/A", "No")</f>
        <v>N/A</v>
      </c>
    </row>
    <row r="53" spans="1:9" ht="43.2" hidden="1" x14ac:dyDescent="0.3">
      <c r="A53" s="2" t="s">
        <v>433</v>
      </c>
      <c r="B53" s="3" t="s">
        <v>247</v>
      </c>
      <c r="C53" s="3" t="s">
        <v>30</v>
      </c>
      <c r="D53" s="3" t="s">
        <v>240</v>
      </c>
      <c r="E53" s="3" t="s">
        <v>256</v>
      </c>
      <c r="F53" s="3" t="s">
        <v>120</v>
      </c>
      <c r="G53" s="3" t="s">
        <v>120</v>
      </c>
      <c r="H53" s="3" t="str">
        <f>IF(Table2[[#This Row],[Expected Results]]=Table2[[#This Row],[Actual Result]],"Passed","Failed")</f>
        <v>Passed</v>
      </c>
      <c r="I53" s="3" t="str">
        <f>IF(Table2[[#This Row],[Status]] = "Passed", "N/A", "No")</f>
        <v>N/A</v>
      </c>
    </row>
    <row r="54" spans="1:9" ht="43.2" hidden="1" x14ac:dyDescent="0.3">
      <c r="A54" s="2" t="s">
        <v>434</v>
      </c>
      <c r="B54" s="3" t="s">
        <v>248</v>
      </c>
      <c r="C54" s="3" t="s">
        <v>30</v>
      </c>
      <c r="D54" s="3" t="s">
        <v>240</v>
      </c>
      <c r="E54" s="3" t="s">
        <v>251</v>
      </c>
      <c r="F54" s="3" t="s">
        <v>120</v>
      </c>
      <c r="G54" s="3" t="s">
        <v>120</v>
      </c>
      <c r="H54" s="3" t="str">
        <f>IF(Table2[[#This Row],[Expected Results]]=Table2[[#This Row],[Actual Result]],"Passed","Failed")</f>
        <v>Passed</v>
      </c>
      <c r="I54" s="3" t="str">
        <f>IF(Table2[[#This Row],[Status]] = "Passed", "N/A", "No")</f>
        <v>N/A</v>
      </c>
    </row>
    <row r="55" spans="1:9" ht="43.2" hidden="1" x14ac:dyDescent="0.3">
      <c r="A55" s="2" t="s">
        <v>198</v>
      </c>
      <c r="B55" s="3" t="s">
        <v>199</v>
      </c>
      <c r="C55" s="3" t="s">
        <v>30</v>
      </c>
      <c r="D55" s="3" t="s">
        <v>200</v>
      </c>
      <c r="E55" s="3" t="s">
        <v>201</v>
      </c>
      <c r="F55" s="3" t="s">
        <v>120</v>
      </c>
      <c r="G55" s="3" t="s">
        <v>120</v>
      </c>
      <c r="H55" s="3" t="str">
        <f>IF(Table2[[#This Row],[Expected Results]]=Table2[[#This Row],[Actual Result]],"Passed","Failed")</f>
        <v>Passed</v>
      </c>
      <c r="I55" s="3" t="str">
        <f>IF(Table2[[#This Row],[Status]] = "Passed", "N/A", "No")</f>
        <v>N/A</v>
      </c>
    </row>
    <row r="56" spans="1:9" ht="43.2" hidden="1" x14ac:dyDescent="0.3">
      <c r="A56" s="2" t="s">
        <v>202</v>
      </c>
      <c r="B56" s="3" t="s">
        <v>203</v>
      </c>
      <c r="C56" s="3" t="s">
        <v>30</v>
      </c>
      <c r="D56" s="3" t="s">
        <v>200</v>
      </c>
      <c r="E56" s="3" t="s">
        <v>204</v>
      </c>
      <c r="F56" s="3" t="s">
        <v>205</v>
      </c>
      <c r="G56" s="3" t="s">
        <v>205</v>
      </c>
      <c r="H56" s="3" t="str">
        <f>IF(Table2[[#This Row],[Expected Results]]=Table2[[#This Row],[Actual Result]],"Passed","Failed")</f>
        <v>Passed</v>
      </c>
      <c r="I56" s="3" t="str">
        <f>IF(Table2[[#This Row],[Status]] = "Passed", "N/A", "No")</f>
        <v>N/A</v>
      </c>
    </row>
    <row r="57" spans="1:9" ht="43.2" hidden="1" x14ac:dyDescent="0.3">
      <c r="A57" s="2" t="s">
        <v>206</v>
      </c>
      <c r="B57" s="3" t="s">
        <v>207</v>
      </c>
      <c r="C57" s="3" t="s">
        <v>30</v>
      </c>
      <c r="D57" s="3" t="s">
        <v>200</v>
      </c>
      <c r="E57" s="3" t="s">
        <v>208</v>
      </c>
      <c r="F57" s="3" t="s">
        <v>205</v>
      </c>
      <c r="G57" s="3" t="s">
        <v>205</v>
      </c>
      <c r="H57" s="3" t="str">
        <f>IF(Table2[[#This Row],[Expected Results]]=Table2[[#This Row],[Actual Result]],"Passed","Failed")</f>
        <v>Passed</v>
      </c>
      <c r="I57" s="3" t="str">
        <f>IF(Table2[[#This Row],[Status]] = "Passed", "N/A", "No")</f>
        <v>N/A</v>
      </c>
    </row>
    <row r="58" spans="1:9" ht="43.2" hidden="1" x14ac:dyDescent="0.3">
      <c r="A58" s="2" t="s">
        <v>209</v>
      </c>
      <c r="B58" s="3" t="s">
        <v>212</v>
      </c>
      <c r="C58" s="3" t="s">
        <v>30</v>
      </c>
      <c r="D58" s="3" t="s">
        <v>200</v>
      </c>
      <c r="E58" s="3" t="s">
        <v>213</v>
      </c>
      <c r="F58" s="3" t="s">
        <v>205</v>
      </c>
      <c r="G58" s="3" t="s">
        <v>205</v>
      </c>
      <c r="H58" s="3" t="str">
        <f>IF(Table2[[#This Row],[Expected Results]]=Table2[[#This Row],[Actual Result]],"Passed","Failed")</f>
        <v>Passed</v>
      </c>
      <c r="I58" s="3" t="str">
        <f>IF(Table2[[#This Row],[Status]] = "Passed", "N/A", "No")</f>
        <v>N/A</v>
      </c>
    </row>
    <row r="59" spans="1:9" ht="43.2" hidden="1" x14ac:dyDescent="0.3">
      <c r="A59" s="2" t="s">
        <v>210</v>
      </c>
      <c r="B59" s="3" t="s">
        <v>214</v>
      </c>
      <c r="C59" s="3" t="s">
        <v>30</v>
      </c>
      <c r="D59" s="3" t="s">
        <v>200</v>
      </c>
      <c r="E59" s="3" t="s">
        <v>215</v>
      </c>
      <c r="F59" s="3" t="s">
        <v>205</v>
      </c>
      <c r="G59" s="3" t="s">
        <v>205</v>
      </c>
      <c r="H59" s="3" t="str">
        <f>IF(Table2[[#This Row],[Expected Results]]=Table2[[#This Row],[Actual Result]],"Passed","Failed")</f>
        <v>Passed</v>
      </c>
      <c r="I59" s="3" t="str">
        <f>IF(Table2[[#This Row],[Status]] = "Passed", "N/A", "No")</f>
        <v>N/A</v>
      </c>
    </row>
    <row r="60" spans="1:9" ht="43.2" hidden="1" x14ac:dyDescent="0.3">
      <c r="A60" s="2" t="s">
        <v>211</v>
      </c>
      <c r="B60" s="3" t="s">
        <v>222</v>
      </c>
      <c r="C60" s="3" t="s">
        <v>30</v>
      </c>
      <c r="D60" s="3" t="s">
        <v>200</v>
      </c>
      <c r="E60" s="3" t="s">
        <v>223</v>
      </c>
      <c r="F60" s="3" t="s">
        <v>205</v>
      </c>
      <c r="G60" s="3" t="s">
        <v>205</v>
      </c>
      <c r="H60" s="3" t="str">
        <f>IF(Table2[[#This Row],[Expected Results]]=Table2[[#This Row],[Actual Result]],"Passed","Failed")</f>
        <v>Passed</v>
      </c>
      <c r="I60" s="3" t="str">
        <f>IF(Table2[[#This Row],[Status]] = "Passed", "N/A", "No")</f>
        <v>N/A</v>
      </c>
    </row>
  </sheetData>
  <phoneticPr fontId="4" type="noConversion"/>
  <conditionalFormatting sqref="H1:H60">
    <cfRule type="containsText" dxfId="17" priority="19" operator="containsText" text="Obsolete">
      <formula>NOT(ISERROR(SEARCH("Obsolete",H1)))</formula>
    </cfRule>
    <cfRule type="containsText" dxfId="16" priority="20" operator="containsText" text="Re-test">
      <formula>NOT(ISERROR(SEARCH("Re-test",H1)))</formula>
    </cfRule>
    <cfRule type="containsText" dxfId="15" priority="21" operator="containsText" text="Deferred">
      <formula>NOT(ISERROR(SEARCH("Deferred",H1)))</formula>
    </cfRule>
    <cfRule type="containsText" dxfId="14" priority="22" operator="containsText" text="Blocked">
      <formula>NOT(ISERROR(SEARCH("Blocked",H1)))</formula>
    </cfRule>
    <cfRule type="containsText" dxfId="13" priority="23" operator="containsText" text="Failed">
      <formula>NOT(ISERROR(SEARCH("Failed",H1)))</formula>
    </cfRule>
    <cfRule type="containsText" dxfId="12" priority="24" operator="containsText" text="Passed">
      <formula>NOT(ISERROR(SEARCH("Passed",H1)))</formula>
    </cfRule>
    <cfRule type="containsText" dxfId="11" priority="25" operator="containsText" text="In Progress">
      <formula>NOT(ISERROR(SEARCH("In Progress",H1)))</formula>
    </cfRule>
    <cfRule type="containsText" dxfId="10" priority="26" operator="containsText" text="Ready">
      <formula>NOT(ISERROR(SEARCH("Ready",H1)))</formula>
    </cfRule>
    <cfRule type="containsText" dxfId="9" priority="27" operator="containsText" text="New">
      <formula>NOT(ISERROR(SEARCH("New",H1)))</formula>
    </cfRule>
  </conditionalFormatting>
  <conditionalFormatting sqref="H8">
    <cfRule type="containsText" dxfId="8" priority="10" operator="containsText" text="Obsolete">
      <formula>NOT(ISERROR(SEARCH("Obsolete",H8)))</formula>
    </cfRule>
    <cfRule type="containsText" dxfId="7" priority="11" operator="containsText" text="Re-test">
      <formula>NOT(ISERROR(SEARCH("Re-test",H8)))</formula>
    </cfRule>
    <cfRule type="containsText" dxfId="6" priority="12" operator="containsText" text="Deferred">
      <formula>NOT(ISERROR(SEARCH("Deferred",H8)))</formula>
    </cfRule>
    <cfRule type="containsText" dxfId="5" priority="13" operator="containsText" text="Blocked">
      <formula>NOT(ISERROR(SEARCH("Blocked",H8)))</formula>
    </cfRule>
    <cfRule type="containsText" dxfId="4" priority="14" operator="containsText" text="Failed">
      <formula>NOT(ISERROR(SEARCH("Failed",H8)))</formula>
    </cfRule>
    <cfRule type="containsText" dxfId="3" priority="15" operator="containsText" text="Passed">
      <formula>NOT(ISERROR(SEARCH("Passed",H8)))</formula>
    </cfRule>
    <cfRule type="containsText" dxfId="2" priority="16" operator="containsText" text="In Progress">
      <formula>NOT(ISERROR(SEARCH("In Progress",H8)))</formula>
    </cfRule>
    <cfRule type="containsText" dxfId="1" priority="17" operator="containsText" text="Ready">
      <formula>NOT(ISERROR(SEARCH("Ready",H8)))</formula>
    </cfRule>
    <cfRule type="containsText" dxfId="0" priority="18" operator="containsText" text="New">
      <formula>NOT(ISERROR(SEARCH("New",H8)))</formula>
    </cfRule>
  </conditionalFormatting>
  <dataValidations count="3">
    <dataValidation type="list" allowBlank="1" showInputMessage="1" showErrorMessage="1" sqref="I2:I8 I10:I14 I16:I21 I23:I32 I34:I41 I58:I60 I43:I48 I52:I54" xr:uid="{D8FCB364-279B-477D-A337-00849B2234BE}">
      <formula1>"""Yes"",""No"",""N/A"""</formula1>
    </dataValidation>
    <dataValidation type="list" allowBlank="1" showInputMessage="1" showErrorMessage="1" sqref="I9 I15 I42 I22 I33 I55:I57 I49:I51" xr:uid="{C7B7AB2C-27D5-4CA1-BC60-6E598FF0C69F}">
      <formula1>"Yes,No,N/A"</formula1>
    </dataValidation>
    <dataValidation type="list" allowBlank="1" showInputMessage="1" showErrorMessage="1" sqref="H2:H60" xr:uid="{93AEFD79-B221-4F8A-A19A-96F5A6645CB6}">
      <formula1>"New,Ready,In Progress,Passed,Failed,Blocked,Deferred,Re-test,Obsolete"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AC940-3051-479D-B19B-13E92126DC05}">
  <dimension ref="A1:D3"/>
  <sheetViews>
    <sheetView workbookViewId="0">
      <selection activeCell="D3" sqref="D2:D3"/>
    </sheetView>
  </sheetViews>
  <sheetFormatPr defaultRowHeight="14.4" x14ac:dyDescent="0.3"/>
  <cols>
    <col min="1" max="1" width="13.5546875" bestFit="1" customWidth="1"/>
    <col min="2" max="2" width="29.77734375" bestFit="1" customWidth="1"/>
    <col min="3" max="3" width="17.44140625" bestFit="1" customWidth="1"/>
    <col min="4" max="4" width="30.77734375" bestFit="1" customWidth="1"/>
  </cols>
  <sheetData>
    <row r="1" spans="1:4" x14ac:dyDescent="0.3">
      <c r="A1" t="s">
        <v>230</v>
      </c>
      <c r="B1" t="s">
        <v>231</v>
      </c>
      <c r="C1" t="s">
        <v>232</v>
      </c>
      <c r="D1" t="s">
        <v>102</v>
      </c>
    </row>
    <row r="2" spans="1:4" x14ac:dyDescent="0.3">
      <c r="A2" t="s">
        <v>233</v>
      </c>
      <c r="B2" t="s">
        <v>235</v>
      </c>
      <c r="C2">
        <v>30</v>
      </c>
      <c r="D2" t="s">
        <v>236</v>
      </c>
    </row>
    <row r="3" spans="1:4" x14ac:dyDescent="0.3">
      <c r="A3" t="s">
        <v>234</v>
      </c>
      <c r="B3" t="s">
        <v>235</v>
      </c>
      <c r="C3">
        <v>90</v>
      </c>
      <c r="D3" t="s">
        <v>237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4AAB8-284C-4310-8D63-4F29F93E3474}">
  <dimension ref="A1:D4"/>
  <sheetViews>
    <sheetView workbookViewId="0">
      <selection activeCell="J5" sqref="J5"/>
    </sheetView>
  </sheetViews>
  <sheetFormatPr defaultRowHeight="14.4" x14ac:dyDescent="0.3"/>
  <cols>
    <col min="1" max="1" width="10.44140625" customWidth="1"/>
    <col min="2" max="2" width="14.21875" customWidth="1"/>
    <col min="3" max="3" width="16.21875" customWidth="1"/>
    <col min="4" max="4" width="10.33203125" customWidth="1"/>
  </cols>
  <sheetData>
    <row r="1" spans="1:4" x14ac:dyDescent="0.3">
      <c r="A1" t="s">
        <v>97</v>
      </c>
      <c r="B1" t="s">
        <v>101</v>
      </c>
      <c r="C1" t="s">
        <v>98</v>
      </c>
      <c r="D1" t="s">
        <v>102</v>
      </c>
    </row>
    <row r="2" spans="1:4" ht="43.2" x14ac:dyDescent="0.3">
      <c r="A2" s="11" t="s">
        <v>27</v>
      </c>
      <c r="B2">
        <v>5</v>
      </c>
      <c r="C2">
        <v>15</v>
      </c>
      <c r="D2">
        <v>36</v>
      </c>
    </row>
    <row r="3" spans="1:4" ht="43.2" x14ac:dyDescent="0.3">
      <c r="A3" s="11" t="s">
        <v>99</v>
      </c>
      <c r="B3">
        <v>10</v>
      </c>
      <c r="C3">
        <v>81</v>
      </c>
      <c r="D3">
        <v>72</v>
      </c>
    </row>
    <row r="4" spans="1:4" ht="43.2" x14ac:dyDescent="0.3">
      <c r="A4" s="11" t="s">
        <v>100</v>
      </c>
      <c r="B4">
        <v>0</v>
      </c>
      <c r="C4">
        <v>0</v>
      </c>
      <c r="D4">
        <v>20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3BE1F-D25B-4059-B205-1DB650BC1B7C}">
  <dimension ref="A1:B8"/>
  <sheetViews>
    <sheetView workbookViewId="0">
      <selection activeCell="A8" sqref="A8"/>
    </sheetView>
  </sheetViews>
  <sheetFormatPr defaultRowHeight="14.4" x14ac:dyDescent="0.3"/>
  <cols>
    <col min="1" max="1" width="15.6640625" bestFit="1" customWidth="1"/>
    <col min="2" max="2" width="46.109375" bestFit="1" customWidth="1"/>
  </cols>
  <sheetData>
    <row r="1" spans="1:2" x14ac:dyDescent="0.3">
      <c r="A1" t="s">
        <v>85</v>
      </c>
      <c r="B1" t="s">
        <v>77</v>
      </c>
    </row>
    <row r="2" spans="1:2" x14ac:dyDescent="0.3">
      <c r="A2" t="s">
        <v>76</v>
      </c>
      <c r="B2" t="s">
        <v>81</v>
      </c>
    </row>
    <row r="3" spans="1:2" x14ac:dyDescent="0.3">
      <c r="A3" t="s">
        <v>78</v>
      </c>
      <c r="B3" t="s">
        <v>82</v>
      </c>
    </row>
    <row r="4" spans="1:2" x14ac:dyDescent="0.3">
      <c r="A4" t="s">
        <v>79</v>
      </c>
      <c r="B4" t="s">
        <v>83</v>
      </c>
    </row>
    <row r="5" spans="1:2" x14ac:dyDescent="0.3">
      <c r="A5" t="s">
        <v>80</v>
      </c>
      <c r="B5" t="s">
        <v>84</v>
      </c>
    </row>
    <row r="6" spans="1:2" x14ac:dyDescent="0.3">
      <c r="A6" t="s">
        <v>86</v>
      </c>
      <c r="B6" t="s">
        <v>87</v>
      </c>
    </row>
    <row r="7" spans="1:2" x14ac:dyDescent="0.3">
      <c r="A7" t="s">
        <v>88</v>
      </c>
      <c r="B7" t="s">
        <v>89</v>
      </c>
    </row>
    <row r="8" spans="1:2" x14ac:dyDescent="0.3">
      <c r="A8" t="s">
        <v>90</v>
      </c>
      <c r="B8" t="s">
        <v>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test_cases</vt:lpstr>
      <vt:lpstr>API_requests</vt:lpstr>
      <vt:lpstr>unit_tests</vt:lpstr>
      <vt:lpstr>estDeliveryTime_test_inputs</vt:lpstr>
      <vt:lpstr>estDeliveryMinutes_test_inputs</vt:lpstr>
      <vt:lpstr>calcSubtotal_test_inputs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Lewis Evans</dc:creator>
  <cp:lastModifiedBy>Ethan Turner</cp:lastModifiedBy>
  <dcterms:created xsi:type="dcterms:W3CDTF">2023-11-08T18:53:48Z</dcterms:created>
  <dcterms:modified xsi:type="dcterms:W3CDTF">2025-12-22T21:25:31Z</dcterms:modified>
</cp:coreProperties>
</file>